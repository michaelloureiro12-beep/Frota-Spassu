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10284" tabRatio="500" firstSheet="1" activeTab="1" autoFilterDateGrouping="1"/>
  </bookViews>
  <sheets>
    <sheet xmlns:r="http://schemas.openxmlformats.org/officeDocument/2006/relationships" name="Cadastro de Veículos" sheetId="1" state="visible" r:id="rId1"/>
    <sheet xmlns:r="http://schemas.openxmlformats.org/officeDocument/2006/relationships" name="Controle KM Semanal" sheetId="2" state="visible" r:id="rId2"/>
    <sheet xmlns:r="http://schemas.openxmlformats.org/officeDocument/2006/relationships" name="Controle Abastecimento" sheetId="3" state="visible" r:id="rId3"/>
    <sheet xmlns:r="http://schemas.openxmlformats.org/officeDocument/2006/relationships" name="Controle Revisõ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Dashboard por Veículo" sheetId="6" state="visible" r:id="rId6"/>
  </sheets>
  <definedNames>
    <definedName name="_xlnm._FilterDatabase" localSheetId="1" hidden="1">'Controle KM Semanal'!$A$3:$J$30</definedName>
    <definedName name="_xlnm._FilterDatabase" localSheetId="2" hidden="1">'Controle Abastecimento'!$A$3:$K$28</definedName>
  </definedNames>
  <calcPr calcId="191028" fullCalcOnLoad="1" iterate="1" iterateCount="1000" iterateDelta="0.0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\R\$\ #,##0.00"/>
    <numFmt numFmtId="166" formatCode="_-&quot;R$&quot;\ * #,##0.00_-;\-&quot;R$&quot;\ * #,##0.00_-;_-&quot;R$&quot;\ * &quot;-&quot;??_-;_-@_-"/>
    <numFmt numFmtId="167" formatCode="mm/dd/yyyy"/>
    <numFmt numFmtId="168" formatCode="\$#,##0.00"/>
    <numFmt numFmtId="169" formatCode="_-[$R$-416]\ * #,##0.00_-;\-[$R$-416]\ * #,##0.00_-;_-[$R$-416]\ * &quot;-&quot;??_-;_-@_-"/>
    <numFmt numFmtId="170" formatCode="&quot;R$&quot;\ #,##0.00"/>
  </numFmts>
  <fonts count="10">
    <font>
      <name val="Calibri"/>
      <color theme="1"/>
      <sz val="11"/>
      <scheme val="minor"/>
    </font>
    <font>
      <name val="Poppins"/>
      <b val="1"/>
      <color rgb="FFFFFFFF"/>
      <sz val="18"/>
    </font>
    <font>
      <name val="Poppins"/>
      <b val="1"/>
      <color rgb="FFFFFFFF"/>
      <sz val="11"/>
    </font>
    <font>
      <name val="Poppins"/>
      <sz val="10"/>
    </font>
    <font>
      <name val="Calibri"/>
      <sz val="11"/>
      <scheme val="minor"/>
    </font>
    <font>
      <name val="Poppins"/>
      <b val="1"/>
      <color rgb="FFFFFFFF"/>
      <sz val="12"/>
    </font>
    <font>
      <name val="Poppins"/>
      <color rgb="FF333333"/>
      <sz val="11"/>
    </font>
    <font>
      <name val="Poppins"/>
      <b val="1"/>
      <color rgb="FFFFFFFF"/>
      <sz val="14"/>
    </font>
    <font>
      <name val="Calibri"/>
      <color theme="1"/>
      <sz val="11"/>
      <scheme val="minor"/>
    </font>
    <font>
      <name val="Poppins"/>
      <charset val="1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201547"/>
      </patternFill>
    </fill>
    <fill>
      <patternFill patternType="solid">
        <fgColor rgb="FFFA4616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0E0E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8" fillId="0" borderId="1" applyAlignment="1">
      <alignment vertical="top"/>
    </xf>
    <xf numFmtId="44" fontId="8" fillId="0" borderId="1"/>
  </cellStyleXfs>
  <cellXfs count="85">
    <xf numFmtId="0" fontId="0" fillId="0" borderId="1" applyAlignment="1" pivotButton="0" quotePrefix="0" xfId="0">
      <alignment vertical="top"/>
    </xf>
    <xf numFmtId="0" fontId="6" fillId="4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3" fontId="7" fillId="2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164" fontId="7" fillId="3" borderId="2" applyAlignment="1" pivotButton="0" quotePrefix="0" xfId="0">
      <alignment horizontal="center" vertical="center"/>
    </xf>
    <xf numFmtId="165" fontId="7" fillId="3" borderId="2" applyAlignment="1" pivotButton="0" quotePrefix="0" xfId="0">
      <alignment horizontal="center" vertical="center"/>
    </xf>
    <xf numFmtId="165" fontId="7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0" fontId="3" fillId="5" borderId="4" applyAlignment="1" pivotButton="0" quotePrefix="0" xfId="0">
      <alignment horizontal="right" vertical="center"/>
    </xf>
    <xf numFmtId="0" fontId="3" fillId="4" borderId="4" applyAlignment="1" pivotButton="0" quotePrefix="0" xfId="0">
      <alignment horizontal="center" vertical="center"/>
    </xf>
    <xf numFmtId="0" fontId="3" fillId="4" borderId="4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166" fontId="3" fillId="5" borderId="4" applyAlignment="1" pivotButton="0" quotePrefix="0" xfId="1">
      <alignment horizontal="right" vertical="center"/>
    </xf>
    <xf numFmtId="166" fontId="3" fillId="4" borderId="4" applyAlignment="1" pivotButton="0" quotePrefix="0" xfId="1">
      <alignment horizontal="right" vertical="center"/>
    </xf>
    <xf numFmtId="166" fontId="0" fillId="0" borderId="1" applyAlignment="1" pivotButton="0" quotePrefix="0" xfId="1">
      <alignment vertical="top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4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14" fontId="3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/>
    </xf>
    <xf numFmtId="0" fontId="3" fillId="4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167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4" fontId="4" fillId="0" borderId="1" applyAlignment="1" pivotButton="0" quotePrefix="0" xfId="0">
      <alignment vertical="top"/>
    </xf>
    <xf numFmtId="168" fontId="4" fillId="0" borderId="1" applyAlignment="1" pivotButton="0" quotePrefix="0" xfId="0">
      <alignment vertical="top"/>
    </xf>
    <xf numFmtId="0" fontId="2" fillId="3" borderId="1" applyAlignment="1" pivotButton="0" quotePrefix="0" xfId="0">
      <alignment horizontal="right" vertical="center"/>
    </xf>
    <xf numFmtId="166" fontId="2" fillId="3" borderId="1" applyAlignment="1" pivotButton="0" quotePrefix="0" xfId="1">
      <alignment horizontal="right" vertical="center"/>
    </xf>
    <xf numFmtId="16" fontId="3" fillId="4" borderId="1" applyAlignment="1" pivotButton="0" quotePrefix="0" xfId="0">
      <alignment vertical="top"/>
    </xf>
    <xf numFmtId="169" fontId="3" fillId="4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16" fontId="3" fillId="5" borderId="1" applyAlignment="1" pivotButton="0" quotePrefix="0" xfId="0">
      <alignment vertical="top"/>
    </xf>
    <xf numFmtId="169" fontId="3" fillId="5" borderId="1" applyAlignment="1" pivotButton="0" quotePrefix="0" xfId="0">
      <alignment vertical="top"/>
    </xf>
    <xf numFmtId="169" fontId="3" fillId="6" borderId="1" applyAlignment="1" pivotButton="0" quotePrefix="0" xfId="0">
      <alignment vertical="top"/>
    </xf>
    <xf numFmtId="2" fontId="3" fillId="4" borderId="4" applyAlignment="1" pivotButton="0" quotePrefix="0" xfId="0">
      <alignment horizontal="righ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vertical="top"/>
    </xf>
    <xf numFmtId="16" fontId="3" fillId="7" borderId="1" applyAlignment="1" pivotButton="0" quotePrefix="0" xfId="0">
      <alignment vertical="top"/>
    </xf>
    <xf numFmtId="0" fontId="3" fillId="7" borderId="1" applyAlignment="1" pivotButton="0" quotePrefix="0" xfId="0">
      <alignment horizontal="center" vertical="top"/>
    </xf>
    <xf numFmtId="2" fontId="3" fillId="5" borderId="4" applyAlignment="1" pivotButton="0" quotePrefix="0" xfId="0">
      <alignment horizontal="right" vertical="center"/>
    </xf>
    <xf numFmtId="0" fontId="9" fillId="0" borderId="1" applyAlignment="1" pivotButton="0" quotePrefix="0" xfId="0">
      <alignment vertical="top"/>
    </xf>
    <xf numFmtId="170" fontId="3" fillId="4" borderId="1" applyAlignment="1" pivotButton="0" quotePrefix="0" xfId="0">
      <alignment horizontal="left" vertical="center"/>
    </xf>
    <xf numFmtId="16" fontId="3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vertical="top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top"/>
    </xf>
    <xf numFmtId="0" fontId="1" fillId="2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0" fillId="0" borderId="0" pivotButton="0" quotePrefix="0" xfId="0"/>
    <xf numFmtId="167" fontId="4" fillId="0" borderId="1" applyAlignment="1" pivotButton="0" quotePrefix="0" xfId="0">
      <alignment horizontal="center" vertical="center"/>
    </xf>
    <xf numFmtId="169" fontId="3" fillId="5" borderId="1" applyAlignment="1" pivotButton="0" quotePrefix="0" xfId="0">
      <alignment vertical="top"/>
    </xf>
    <xf numFmtId="169" fontId="3" fillId="6" borderId="1" applyAlignment="1" pivotButton="0" quotePrefix="0" xfId="0">
      <alignment vertical="top"/>
    </xf>
    <xf numFmtId="169" fontId="3" fillId="4" borderId="1" applyAlignment="1" pivotButton="0" quotePrefix="0" xfId="0">
      <alignment vertical="top"/>
    </xf>
    <xf numFmtId="168" fontId="4" fillId="0" borderId="1" applyAlignment="1" pivotButton="0" quotePrefix="0" xfId="0">
      <alignment vertical="top"/>
    </xf>
    <xf numFmtId="169" fontId="4" fillId="0" borderId="1" applyAlignment="1" pivotButton="0" quotePrefix="0" xfId="0">
      <alignment vertical="top"/>
    </xf>
    <xf numFmtId="167" fontId="4" fillId="0" borderId="1" applyAlignment="1" pivotButton="0" quotePrefix="0" xfId="0">
      <alignment vertical="top"/>
    </xf>
    <xf numFmtId="170" fontId="3" fillId="4" borderId="1" applyAlignment="1" pivotButton="0" quotePrefix="0" xfId="0">
      <alignment horizontal="left" vertical="center"/>
    </xf>
    <xf numFmtId="164" fontId="7" fillId="3" borderId="2" applyAlignment="1" pivotButton="0" quotePrefix="0" xfId="0">
      <alignment horizontal="center" vertical="center"/>
    </xf>
    <xf numFmtId="165" fontId="7" fillId="3" borderId="2" applyAlignment="1" pivotButton="0" quotePrefix="0" xfId="0">
      <alignment horizontal="center" vertical="center"/>
    </xf>
    <xf numFmtId="165" fontId="7" fillId="2" borderId="2" applyAlignment="1" pivotButton="0" quotePrefix="0" xfId="0">
      <alignment horizontal="center" vertical="center"/>
    </xf>
    <xf numFmtId="166" fontId="3" fillId="5" borderId="4" applyAlignment="1" pivotButton="0" quotePrefix="0" xfId="1">
      <alignment horizontal="right" vertical="center"/>
    </xf>
    <xf numFmtId="166" fontId="3" fillId="4" borderId="4" applyAlignment="1" pivotButton="0" quotePrefix="0" xfId="1">
      <alignment horizontal="right" vertical="center"/>
    </xf>
    <xf numFmtId="166" fontId="0" fillId="0" borderId="1" applyAlignment="1" pivotButton="0" quotePrefix="0" xfId="1">
      <alignment vertical="top"/>
    </xf>
    <xf numFmtId="166" fontId="2" fillId="3" borderId="1" applyAlignment="1" pivotButton="0" quotePrefix="0" xfId="1">
      <alignment horizontal="right" vertical="center"/>
    </xf>
  </cellXfs>
  <cellStyles count="2">
    <cellStyle name="Normal" xfId="0" builtinId="0"/>
    <cellStyle name="Moeda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showGridLines="0" workbookViewId="0">
      <pane ySplit="3" topLeftCell="A7" activePane="bottomLeft" state="frozen"/>
      <selection pane="bottomLeft" activeCell="B6" sqref="B6"/>
    </sheetView>
  </sheetViews>
  <sheetFormatPr baseColWidth="8" defaultColWidth="8.85546875" defaultRowHeight="15" customHeight="1"/>
  <cols>
    <col width="3.28515625" customWidth="1" style="62" min="1" max="1"/>
    <col width="11.85546875" customWidth="1" style="62" min="2" max="2"/>
    <col width="12.28515625" bestFit="1" customWidth="1" style="62" min="3" max="3"/>
    <col width="8.7109375" customWidth="1" style="62" min="4" max="4"/>
    <col width="7.7109375" customWidth="1" style="62" min="5" max="5"/>
    <col width="11.5703125" customWidth="1" style="62" min="6" max="6"/>
    <col width="10.7109375" customWidth="1" style="62" min="7" max="7"/>
    <col width="12.5703125" customWidth="1" style="62" min="8" max="8"/>
    <col width="15.28515625" customWidth="1" style="62" min="9" max="9"/>
    <col width="23.42578125" customWidth="1" style="62" min="10" max="10"/>
    <col width="11.7109375" customWidth="1" style="62" min="11" max="11"/>
    <col width="22.7109375" customWidth="1" style="62" min="12" max="12"/>
    <col width="8.85546875" customWidth="1" style="62" min="13" max="16384"/>
  </cols>
  <sheetData>
    <row r="1" ht="22.5" customHeight="1" s="69">
      <c r="A1" s="61" t="inlineStr">
        <is>
          <t>CADASTRO DE FROTA DE VEÍCULOS</t>
        </is>
      </c>
    </row>
    <row r="3" ht="15" customHeight="1" s="69">
      <c r="A3" s="65" t="inlineStr">
        <is>
          <t>ID</t>
        </is>
      </c>
      <c r="B3" s="65" t="inlineStr">
        <is>
          <t>Placa</t>
        </is>
      </c>
      <c r="C3" s="65" t="inlineStr">
        <is>
          <t>Marca</t>
        </is>
      </c>
      <c r="D3" s="65" t="inlineStr">
        <is>
          <t>Modelo</t>
        </is>
      </c>
      <c r="E3" s="65" t="inlineStr">
        <is>
          <t>Ano</t>
        </is>
      </c>
      <c r="F3" s="65" t="inlineStr">
        <is>
          <t>Cor</t>
        </is>
      </c>
      <c r="G3" s="65" t="inlineStr">
        <is>
          <t>Combus.</t>
        </is>
      </c>
      <c r="H3" s="65" t="inlineStr">
        <is>
          <t>KM Atual</t>
        </is>
      </c>
      <c r="I3" s="65" t="inlineStr">
        <is>
          <t>Data Aquisição</t>
        </is>
      </c>
      <c r="J3" s="65" t="inlineStr">
        <is>
          <t>Responsável</t>
        </is>
      </c>
      <c r="K3" s="65" t="inlineStr">
        <is>
          <t>Status</t>
        </is>
      </c>
      <c r="L3" s="65" t="inlineStr">
        <is>
          <t>Observações</t>
        </is>
      </c>
    </row>
    <row r="4" ht="15" customHeight="1" s="69">
      <c r="A4" s="20" t="n">
        <v>2</v>
      </c>
      <c r="B4" s="20" t="inlineStr">
        <is>
          <t>TYA-2J42</t>
        </is>
      </c>
      <c r="C4" s="20" t="inlineStr">
        <is>
          <t>Volkswagen</t>
        </is>
      </c>
      <c r="D4" s="20" t="inlineStr">
        <is>
          <t>Polo</t>
        </is>
      </c>
      <c r="E4" s="20" t="n">
        <v>2026</v>
      </c>
      <c r="F4" s="20" t="inlineStr">
        <is>
          <t>Preto Ninja</t>
        </is>
      </c>
      <c r="G4" s="20" t="inlineStr">
        <is>
          <t>Flex</t>
        </is>
      </c>
      <c r="H4" s="20" t="n">
        <v>23614</v>
      </c>
      <c r="I4" s="21" t="n">
        <v>46101</v>
      </c>
      <c r="J4" s="20" t="inlineStr">
        <is>
          <t xml:space="preserve">Antônio Henrique </t>
        </is>
      </c>
      <c r="K4" s="20" t="inlineStr">
        <is>
          <t>Ativo</t>
        </is>
      </c>
      <c r="L4" s="20" t="n"/>
    </row>
    <row r="5" ht="15" customHeight="1" s="69">
      <c r="A5" s="18" t="n">
        <v>3</v>
      </c>
      <c r="B5" s="18" t="inlineStr">
        <is>
          <t>TXV-9E58</t>
        </is>
      </c>
      <c r="C5" s="18" t="inlineStr">
        <is>
          <t>GM</t>
        </is>
      </c>
      <c r="D5" s="18" t="inlineStr">
        <is>
          <t>onix</t>
        </is>
      </c>
      <c r="E5" s="18" t="n">
        <v>2026</v>
      </c>
      <c r="F5" s="18" t="inlineStr">
        <is>
          <t>Branco</t>
        </is>
      </c>
      <c r="G5" s="18" t="inlineStr">
        <is>
          <t>Flex</t>
        </is>
      </c>
      <c r="H5" s="18" t="n">
        <v>24987</v>
      </c>
      <c r="I5" s="19" t="n">
        <v>46119</v>
      </c>
      <c r="J5" s="18" t="inlineStr">
        <is>
          <t>Andre Vieria Mendonça</t>
        </is>
      </c>
      <c r="K5" s="18" t="inlineStr">
        <is>
          <t>Ativo</t>
        </is>
      </c>
      <c r="L5" s="18" t="n"/>
    </row>
    <row r="6" ht="15" customHeight="1" s="69">
      <c r="A6" s="20" t="n">
        <v>4</v>
      </c>
      <c r="B6" s="20" t="inlineStr">
        <is>
          <t>TXJ-3C03</t>
        </is>
      </c>
      <c r="C6" s="20" t="inlineStr">
        <is>
          <t>Hyundai</t>
        </is>
      </c>
      <c r="D6" s="20" t="inlineStr">
        <is>
          <t>HB 20</t>
        </is>
      </c>
      <c r="E6" s="20" t="n">
        <v>2026</v>
      </c>
      <c r="F6" s="20" t="inlineStr">
        <is>
          <t>Prata</t>
        </is>
      </c>
      <c r="G6" s="20" t="inlineStr">
        <is>
          <t>Flex</t>
        </is>
      </c>
      <c r="H6" s="20" t="n">
        <v>16867</v>
      </c>
      <c r="I6" s="21" t="n">
        <v>46104</v>
      </c>
      <c r="J6" s="20" t="inlineStr">
        <is>
          <t>Thayna Costa</t>
        </is>
      </c>
      <c r="K6" s="20" t="inlineStr">
        <is>
          <t>Ativo</t>
        </is>
      </c>
      <c r="L6" s="20" t="n"/>
    </row>
    <row r="7" ht="15" customHeight="1" s="69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 ht="15" customHeight="1" s="69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</row>
    <row r="9" ht="15" customHeight="1" s="6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" customHeight="1" s="69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</row>
    <row r="11" ht="15" customHeight="1" s="69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 ht="15" customHeight="1" s="69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</row>
    <row r="13" ht="15" customHeight="1" s="69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 ht="15" customHeight="1" s="69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</row>
    <row r="15" ht="15" customHeight="1" s="69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 ht="15" customHeight="1" s="69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</row>
    <row r="17" ht="15" customHeight="1" s="69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 ht="15" customHeight="1" s="69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</row>
    <row r="19" ht="15" customHeight="1" s="6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5" customHeight="1" s="69">
      <c r="H20" s="24" t="n"/>
      <c r="I20" s="70" t="n"/>
    </row>
    <row r="21" ht="15" customHeight="1" s="69">
      <c r="H21" s="24" t="n"/>
      <c r="I21" s="70" t="n"/>
    </row>
    <row r="22" ht="15" customHeight="1" s="69">
      <c r="H22" s="24" t="n"/>
      <c r="I22" s="70" t="n"/>
    </row>
    <row r="23" ht="15" customHeight="1" s="69">
      <c r="H23" s="24" t="n"/>
      <c r="I23" s="70" t="n"/>
    </row>
    <row r="24" ht="15" customHeight="1" s="69">
      <c r="H24" s="24" t="n"/>
      <c r="I24" s="70" t="n"/>
    </row>
    <row r="25" ht="15" customHeight="1" s="69">
      <c r="H25" s="24" t="n"/>
      <c r="I25" s="70" t="n"/>
    </row>
    <row r="26" ht="15" customHeight="1" s="69">
      <c r="H26" s="24" t="n"/>
      <c r="I26" s="70" t="n"/>
    </row>
    <row r="27" ht="15" customHeight="1" s="69">
      <c r="H27" s="24" t="n"/>
      <c r="I27" s="70" t="n"/>
    </row>
    <row r="28" ht="15" customHeight="1" s="69">
      <c r="H28" s="24" t="n"/>
      <c r="I28" s="70" t="n"/>
    </row>
    <row r="29" ht="15" customHeight="1" s="69">
      <c r="H29" s="24" t="n"/>
      <c r="I29" s="70" t="n"/>
    </row>
    <row r="30" ht="15" customHeight="1" s="69">
      <c r="H30" s="24" t="n"/>
      <c r="I30" s="70" t="n"/>
    </row>
    <row r="31" ht="15" customHeight="1" s="69">
      <c r="H31" s="24" t="n"/>
      <c r="I31" s="70" t="n"/>
    </row>
    <row r="32" ht="15" customHeight="1" s="69">
      <c r="H32" s="24" t="n"/>
      <c r="I32" s="70" t="n"/>
    </row>
    <row r="33" ht="15" customHeight="1" s="69">
      <c r="H33" s="24" t="n"/>
      <c r="I33" s="70" t="n"/>
    </row>
    <row r="34" ht="15" customHeight="1" s="69">
      <c r="H34" s="24" t="n"/>
      <c r="I34" s="70" t="n"/>
    </row>
    <row r="35" ht="15" customHeight="1" s="69">
      <c r="H35" s="24" t="n"/>
      <c r="I35" s="70" t="n"/>
    </row>
    <row r="36" ht="15" customHeight="1" s="69">
      <c r="H36" s="24" t="n"/>
      <c r="I36" s="70" t="n"/>
    </row>
    <row r="37" ht="15" customHeight="1" s="69">
      <c r="H37" s="24" t="n"/>
      <c r="I37" s="70" t="n"/>
    </row>
    <row r="38" ht="15" customHeight="1" s="69">
      <c r="H38" s="24" t="n"/>
      <c r="I38" s="70" t="n"/>
    </row>
    <row r="39" ht="15" customHeight="1" s="69">
      <c r="H39" s="24" t="n"/>
      <c r="I39" s="70" t="n"/>
    </row>
    <row r="40" ht="15" customHeight="1" s="69">
      <c r="H40" s="24" t="n"/>
      <c r="I40" s="70" t="n"/>
    </row>
    <row r="41" ht="15" customHeight="1" s="69">
      <c r="H41" s="24" t="n"/>
      <c r="I41" s="70" t="n"/>
    </row>
    <row r="42" ht="15" customHeight="1" s="69">
      <c r="H42" s="24" t="n"/>
      <c r="I42" s="70" t="n"/>
    </row>
    <row r="43" ht="15" customHeight="1" s="69">
      <c r="H43" s="24" t="n"/>
      <c r="I43" s="70" t="n"/>
    </row>
    <row r="44" ht="15" customHeight="1" s="69">
      <c r="H44" s="24" t="n"/>
      <c r="I44" s="70" t="n"/>
    </row>
    <row r="45" ht="15" customHeight="1" s="69">
      <c r="H45" s="24" t="n"/>
      <c r="I45" s="70" t="n"/>
    </row>
    <row r="46" ht="15" customHeight="1" s="69">
      <c r="H46" s="24" t="n"/>
      <c r="I46" s="70" t="n"/>
    </row>
    <row r="47" ht="15" customHeight="1" s="69">
      <c r="H47" s="24" t="n"/>
      <c r="I47" s="70" t="n"/>
    </row>
    <row r="48" ht="15" customHeight="1" s="69">
      <c r="H48" s="24" t="n"/>
      <c r="I48" s="70" t="n"/>
    </row>
    <row r="49" ht="15" customHeight="1" s="69">
      <c r="H49" s="24" t="n"/>
      <c r="I49" s="70" t="n"/>
    </row>
    <row r="50" ht="15" customHeight="1" s="69">
      <c r="H50" s="24" t="n"/>
      <c r="I50" s="70" t="n"/>
    </row>
    <row r="51" ht="15" customHeight="1" s="69">
      <c r="H51" s="24" t="n"/>
      <c r="I51" s="70" t="n"/>
    </row>
    <row r="52" ht="15" customHeight="1" s="69">
      <c r="H52" s="24" t="n"/>
      <c r="I52" s="70" t="n"/>
    </row>
    <row r="53" ht="15" customHeight="1" s="69">
      <c r="H53" s="24" t="n"/>
      <c r="I53" s="70" t="n"/>
    </row>
    <row r="54" ht="15" customHeight="1" s="69">
      <c r="H54" s="24" t="n"/>
      <c r="I54" s="70" t="n"/>
    </row>
    <row r="55" ht="15" customHeight="1" s="69">
      <c r="H55" s="24" t="n"/>
      <c r="I55" s="70" t="n"/>
    </row>
    <row r="56" ht="15" customHeight="1" s="69">
      <c r="H56" s="24" t="n"/>
      <c r="I56" s="70" t="n"/>
    </row>
    <row r="57" ht="15" customHeight="1" s="69">
      <c r="H57" s="24" t="n"/>
      <c r="I57" s="70" t="n"/>
    </row>
    <row r="58" ht="15" customHeight="1" s="69">
      <c r="H58" s="24" t="n"/>
      <c r="I58" s="70" t="n"/>
    </row>
    <row r="59" ht="15" customHeight="1" s="69">
      <c r="H59" s="24" t="n"/>
      <c r="I59" s="70" t="n"/>
    </row>
    <row r="60" ht="15" customHeight="1" s="69">
      <c r="H60" s="24" t="n"/>
      <c r="I60" s="70" t="n"/>
    </row>
    <row r="61" ht="15" customHeight="1" s="69">
      <c r="H61" s="24" t="n"/>
      <c r="I61" s="70" t="n"/>
    </row>
    <row r="62" ht="15" customHeight="1" s="69">
      <c r="H62" s="24" t="n"/>
      <c r="I62" s="70" t="n"/>
    </row>
    <row r="63" ht="15" customHeight="1" s="69">
      <c r="H63" s="24" t="n"/>
      <c r="I63" s="70" t="n"/>
    </row>
    <row r="64" ht="15" customHeight="1" s="69">
      <c r="H64" s="24" t="n"/>
      <c r="I64" s="70" t="n"/>
    </row>
    <row r="65" ht="15" customHeight="1" s="69">
      <c r="H65" s="24" t="n"/>
      <c r="I65" s="70" t="n"/>
    </row>
    <row r="66" ht="15" customHeight="1" s="69">
      <c r="H66" s="24" t="n"/>
      <c r="I66" s="70" t="n"/>
    </row>
    <row r="67" ht="15" customHeight="1" s="69">
      <c r="H67" s="24" t="n"/>
      <c r="I67" s="70" t="n"/>
    </row>
    <row r="68" ht="15" customHeight="1" s="69">
      <c r="H68" s="24" t="n"/>
      <c r="I68" s="70" t="n"/>
    </row>
    <row r="69" ht="15" customHeight="1" s="69">
      <c r="H69" s="24" t="n"/>
      <c r="I69" s="70" t="n"/>
    </row>
    <row r="70" ht="15" customHeight="1" s="69">
      <c r="H70" s="24" t="n"/>
      <c r="I70" s="70" t="n"/>
    </row>
    <row r="71" ht="15" customHeight="1" s="69">
      <c r="H71" s="24" t="n"/>
      <c r="I71" s="70" t="n"/>
    </row>
    <row r="72" ht="15" customHeight="1" s="69">
      <c r="H72" s="24" t="n"/>
      <c r="I72" s="70" t="n"/>
    </row>
    <row r="73" ht="15" customHeight="1" s="69">
      <c r="H73" s="24" t="n"/>
      <c r="I73" s="70" t="n"/>
    </row>
    <row r="74" ht="15" customHeight="1" s="69">
      <c r="H74" s="24" t="n"/>
      <c r="I74" s="70" t="n"/>
    </row>
    <row r="75" ht="15" customHeight="1" s="69">
      <c r="H75" s="24" t="n"/>
      <c r="I75" s="70" t="n"/>
    </row>
    <row r="76" ht="15" customHeight="1" s="69">
      <c r="H76" s="24" t="n"/>
      <c r="I76" s="70" t="n"/>
    </row>
    <row r="77" ht="15" customHeight="1" s="69">
      <c r="H77" s="24" t="n"/>
      <c r="I77" s="70" t="n"/>
    </row>
    <row r="78" ht="15" customHeight="1" s="69">
      <c r="H78" s="24" t="n"/>
      <c r="I78" s="70" t="n"/>
    </row>
    <row r="79" ht="15" customHeight="1" s="69">
      <c r="H79" s="24" t="n"/>
      <c r="I79" s="70" t="n"/>
    </row>
    <row r="80" ht="15" customHeight="1" s="69">
      <c r="H80" s="24" t="n"/>
      <c r="I80" s="70" t="n"/>
    </row>
    <row r="81" ht="15" customHeight="1" s="69">
      <c r="H81" s="24" t="n"/>
      <c r="I81" s="70" t="n"/>
    </row>
    <row r="82" ht="15" customHeight="1" s="69">
      <c r="H82" s="24" t="n"/>
      <c r="I82" s="70" t="n"/>
    </row>
    <row r="83" ht="15" customHeight="1" s="69">
      <c r="H83" s="24" t="n"/>
      <c r="I83" s="70" t="n"/>
    </row>
    <row r="84" ht="15" customHeight="1" s="69">
      <c r="H84" s="24" t="n"/>
      <c r="I84" s="70" t="n"/>
    </row>
    <row r="85" ht="15" customHeight="1" s="69">
      <c r="H85" s="24" t="n"/>
      <c r="I85" s="70" t="n"/>
    </row>
    <row r="86" ht="15" customHeight="1" s="69">
      <c r="H86" s="24" t="n"/>
      <c r="I86" s="70" t="n"/>
    </row>
    <row r="87" ht="15" customHeight="1" s="69">
      <c r="H87" s="24" t="n"/>
      <c r="I87" s="70" t="n"/>
    </row>
    <row r="88" ht="15" customHeight="1" s="69">
      <c r="H88" s="24" t="n"/>
      <c r="I88" s="70" t="n"/>
    </row>
    <row r="89" ht="15" customHeight="1" s="69">
      <c r="H89" s="24" t="n"/>
      <c r="I89" s="70" t="n"/>
    </row>
    <row r="90" ht="15" customHeight="1" s="69">
      <c r="H90" s="24" t="n"/>
      <c r="I90" s="70" t="n"/>
    </row>
    <row r="91" ht="15" customHeight="1" s="69">
      <c r="H91" s="24" t="n"/>
      <c r="I91" s="70" t="n"/>
    </row>
    <row r="92" ht="15" customHeight="1" s="69">
      <c r="H92" s="24" t="n"/>
      <c r="I92" s="70" t="n"/>
    </row>
    <row r="93" ht="15" customHeight="1" s="69">
      <c r="H93" s="24" t="n"/>
      <c r="I93" s="70" t="n"/>
    </row>
    <row r="94" ht="15" customHeight="1" s="69">
      <c r="H94" s="24" t="n"/>
      <c r="I94" s="70" t="n"/>
    </row>
    <row r="95" ht="15" customHeight="1" s="69">
      <c r="H95" s="24" t="n"/>
      <c r="I95" s="70" t="n"/>
    </row>
    <row r="96" ht="15" customHeight="1" s="69">
      <c r="H96" s="24" t="n"/>
      <c r="I96" s="70" t="n"/>
    </row>
    <row r="97" ht="15" customHeight="1" s="69">
      <c r="H97" s="24" t="n"/>
      <c r="I97" s="70" t="n"/>
    </row>
    <row r="98" ht="15" customHeight="1" s="69">
      <c r="H98" s="24" t="n"/>
      <c r="I98" s="70" t="n"/>
    </row>
    <row r="99" ht="15" customHeight="1" s="69">
      <c r="H99" s="24" t="n"/>
      <c r="I99" s="70" t="n"/>
    </row>
    <row r="100" ht="15" customHeight="1" s="69"/>
  </sheetData>
  <mergeCells count="1">
    <mergeCell ref="A1:L1"/>
  </mergeCells>
  <pageMargins left="0.7" right="0.7" top="0.75" bottom="0.75" header="0.3" footer="0.3"/>
  <pageSetup orientation="portrait"/>
  <headerFooter>
    <oddHeader>&amp;L&amp;C&amp;R</oddHeader>
    <oddFooter>&amp;L&amp;"Aptos"&amp;10 &amp;K000000_x000d_# Uso interno — Spassu Tecnologia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tabSelected="1" workbookViewId="0">
      <pane ySplit="3" topLeftCell="A74" activePane="bottomLeft" state="frozen"/>
      <selection pane="bottomLeft" activeCell="G88" sqref="G88"/>
    </sheetView>
  </sheetViews>
  <sheetFormatPr baseColWidth="8" defaultColWidth="8.85546875" defaultRowHeight="15" customHeight="1"/>
  <cols>
    <col width="2.85546875" customWidth="1" style="69" min="1" max="1"/>
    <col width="11.5703125" customWidth="1" style="69" min="2" max="2"/>
    <col width="11" customWidth="1" style="69" min="3" max="3"/>
    <col width="13" customWidth="1" style="69" min="4" max="4"/>
    <col width="12" customWidth="1" style="69" min="5" max="5"/>
    <col width="13.5703125" customWidth="1" style="69" min="6" max="6"/>
    <col width="16.85546875" customWidth="1" style="69" min="7" max="7"/>
    <col width="18.28515625" customWidth="1" style="69" min="8" max="8"/>
    <col width="20.5703125" customWidth="1" style="69" min="9" max="9"/>
    <col width="18.140625" customWidth="1" style="69" min="10" max="10"/>
  </cols>
  <sheetData>
    <row r="1" ht="22.5" customHeight="1" s="69">
      <c r="A1" s="60" t="inlineStr">
        <is>
          <t>CONTROLE DE QUILOMETRAGEM SEMANAL</t>
        </is>
      </c>
    </row>
    <row r="3" ht="15" customHeight="1" s="69">
      <c r="A3" s="26" t="inlineStr">
        <is>
          <t>ID</t>
        </is>
      </c>
      <c r="B3" s="26" t="inlineStr">
        <is>
          <t>Placa</t>
        </is>
      </c>
      <c r="C3" s="26" t="inlineStr">
        <is>
          <t>Semana</t>
        </is>
      </c>
      <c r="D3" s="26" t="inlineStr">
        <is>
          <t>Data Início</t>
        </is>
      </c>
      <c r="E3" s="26" t="inlineStr">
        <is>
          <t>Data Fim</t>
        </is>
      </c>
      <c r="F3" s="26" t="inlineStr">
        <is>
          <t>KM Inicial</t>
        </is>
      </c>
      <c r="G3" s="26" t="inlineStr">
        <is>
          <t>KM Final</t>
        </is>
      </c>
      <c r="H3" s="26" t="inlineStr">
        <is>
          <t>KM Percorrido</t>
        </is>
      </c>
      <c r="I3" s="26" t="inlineStr">
        <is>
          <t>Motorista</t>
        </is>
      </c>
      <c r="J3" s="26" t="inlineStr">
        <is>
          <t>Observações</t>
        </is>
      </c>
    </row>
    <row r="4" ht="15" customHeight="1" s="69">
      <c r="A4" s="39" t="n">
        <v>2</v>
      </c>
      <c r="B4" s="67" t="inlineStr">
        <is>
          <t>TYA-2J42</t>
        </is>
      </c>
      <c r="C4" s="67" t="n">
        <v>4</v>
      </c>
      <c r="D4" s="43" t="n">
        <v>46104</v>
      </c>
      <c r="E4" s="43" t="n">
        <v>46108</v>
      </c>
      <c r="F4" s="67" t="n">
        <v>15675</v>
      </c>
      <c r="G4" s="67" t="n">
        <v>15939</v>
      </c>
      <c r="H4" s="67">
        <f>G6-F6</f>
        <v/>
      </c>
      <c r="I4" s="41" t="inlineStr">
        <is>
          <t>Henrique</t>
        </is>
      </c>
      <c r="J4" s="67" t="n"/>
    </row>
    <row r="5" ht="15" customHeight="1" s="69">
      <c r="A5" s="39" t="n">
        <v>4</v>
      </c>
      <c r="B5" s="67" t="inlineStr">
        <is>
          <t>TXJ-3C03</t>
        </is>
      </c>
      <c r="C5" s="67" t="n">
        <v>4</v>
      </c>
      <c r="D5" s="43" t="n">
        <v>46104</v>
      </c>
      <c r="E5" s="43" t="n">
        <v>46108</v>
      </c>
      <c r="F5" s="67" t="n">
        <v>7953</v>
      </c>
      <c r="G5" s="67" t="n">
        <v>8200</v>
      </c>
      <c r="H5" s="67">
        <f>G7-F7</f>
        <v/>
      </c>
      <c r="I5" s="41" t="inlineStr">
        <is>
          <t>Thayna</t>
        </is>
      </c>
      <c r="J5" s="67" t="n"/>
    </row>
    <row r="6" ht="15" customHeight="1" s="69">
      <c r="A6" s="38" t="n">
        <v>2</v>
      </c>
      <c r="B6" s="68" t="inlineStr">
        <is>
          <t>TYA-2J42</t>
        </is>
      </c>
      <c r="C6" s="68" t="n">
        <v>5</v>
      </c>
      <c r="D6" s="35" t="n">
        <v>46111</v>
      </c>
      <c r="E6" s="35" t="n">
        <v>46115</v>
      </c>
      <c r="F6" s="68" t="n">
        <v>15939</v>
      </c>
      <c r="G6" s="68" t="n">
        <v>16201</v>
      </c>
      <c r="H6" s="68">
        <f>G9-F9</f>
        <v/>
      </c>
      <c r="I6" s="37" t="inlineStr">
        <is>
          <t>Henrique</t>
        </is>
      </c>
      <c r="J6" s="68" t="n"/>
    </row>
    <row r="7" ht="15" customHeight="1" s="69">
      <c r="A7" s="38" t="n">
        <v>4</v>
      </c>
      <c r="B7" s="68" t="inlineStr">
        <is>
          <t>TXJ-3C03</t>
        </is>
      </c>
      <c r="C7" s="68" t="n">
        <v>5</v>
      </c>
      <c r="D7" s="35" t="n">
        <v>46111</v>
      </c>
      <c r="E7" s="35" t="n">
        <v>46115</v>
      </c>
      <c r="F7" s="68" t="n">
        <v>8200</v>
      </c>
      <c r="G7" s="68" t="n">
        <v>8442</v>
      </c>
      <c r="H7" s="68">
        <f>G10-F10</f>
        <v/>
      </c>
      <c r="I7" s="37" t="inlineStr">
        <is>
          <t>Thayna</t>
        </is>
      </c>
      <c r="J7" s="68" t="n"/>
    </row>
    <row r="8" ht="15" customHeight="1" s="69">
      <c r="A8" s="39" t="n">
        <v>2</v>
      </c>
      <c r="B8" s="67" t="inlineStr">
        <is>
          <t>TYA-2J42</t>
        </is>
      </c>
      <c r="C8" s="67" t="n">
        <v>1</v>
      </c>
      <c r="D8" s="43" t="n">
        <v>46118</v>
      </c>
      <c r="E8" s="43" t="n">
        <v>46122</v>
      </c>
      <c r="F8" s="67" t="n">
        <v>16201</v>
      </c>
      <c r="G8" s="67" t="n">
        <v>16467</v>
      </c>
      <c r="H8" s="67">
        <f>G12-F12</f>
        <v/>
      </c>
      <c r="I8" s="41" t="inlineStr">
        <is>
          <t>Henrique</t>
        </is>
      </c>
      <c r="J8" s="67" t="n"/>
    </row>
    <row r="9" ht="15" customHeight="1" s="69">
      <c r="A9" s="39" t="n">
        <v>3</v>
      </c>
      <c r="B9" s="67" t="inlineStr">
        <is>
          <t>TXV-9E58</t>
        </is>
      </c>
      <c r="C9" s="67" t="n">
        <v>1</v>
      </c>
      <c r="D9" s="43" t="n">
        <v>46118</v>
      </c>
      <c r="E9" s="43" t="n">
        <v>46122</v>
      </c>
      <c r="F9" s="67" t="n">
        <v>16976</v>
      </c>
      <c r="G9" s="67" t="n">
        <v>17484</v>
      </c>
      <c r="H9" s="67">
        <f>G13-F13</f>
        <v/>
      </c>
      <c r="I9" s="41" t="inlineStr">
        <is>
          <t>André</t>
        </is>
      </c>
      <c r="J9" s="67" t="n"/>
    </row>
    <row r="10" ht="15" customHeight="1" s="69">
      <c r="A10" s="39" t="n">
        <v>4</v>
      </c>
      <c r="B10" s="67" t="inlineStr">
        <is>
          <t>TXJ-3C03</t>
        </is>
      </c>
      <c r="C10" s="67" t="n">
        <v>1</v>
      </c>
      <c r="D10" s="43" t="n">
        <v>46118</v>
      </c>
      <c r="E10" s="43" t="n">
        <v>46122</v>
      </c>
      <c r="F10" s="67" t="n">
        <v>8442</v>
      </c>
      <c r="G10" s="67" t="n">
        <v>8694</v>
      </c>
      <c r="H10" s="67">
        <f>G14-F14</f>
        <v/>
      </c>
      <c r="I10" s="41" t="inlineStr">
        <is>
          <t>Thayna</t>
        </is>
      </c>
      <c r="J10" s="67" t="n"/>
    </row>
    <row r="11" ht="15" customHeight="1" s="69">
      <c r="A11" s="38" t="n">
        <v>2</v>
      </c>
      <c r="B11" s="68" t="inlineStr">
        <is>
          <t>TYA-2J42</t>
        </is>
      </c>
      <c r="C11" s="68" t="n">
        <v>2</v>
      </c>
      <c r="D11" s="35" t="n">
        <v>46125</v>
      </c>
      <c r="E11" s="35" t="n">
        <v>46129</v>
      </c>
      <c r="F11" s="68" t="n">
        <v>16467</v>
      </c>
      <c r="G11" s="68" t="n">
        <v>16736</v>
      </c>
      <c r="H11" s="68">
        <f>G16-F16</f>
        <v/>
      </c>
      <c r="I11" s="37" t="inlineStr">
        <is>
          <t>Henrique</t>
        </is>
      </c>
      <c r="J11" s="68" t="n"/>
    </row>
    <row r="12" ht="15" customHeight="1" s="69">
      <c r="A12" s="38" t="n">
        <v>3</v>
      </c>
      <c r="B12" s="68" t="inlineStr">
        <is>
          <t>TXV-9E58</t>
        </is>
      </c>
      <c r="C12" s="68" t="n">
        <v>2</v>
      </c>
      <c r="D12" s="35" t="n">
        <v>46125</v>
      </c>
      <c r="E12" s="35" t="n">
        <v>46129</v>
      </c>
      <c r="F12" s="68" t="n">
        <v>17484</v>
      </c>
      <c r="G12" s="68" t="n">
        <v>17726</v>
      </c>
      <c r="H12" s="68">
        <f>G17-F17</f>
        <v/>
      </c>
      <c r="I12" s="37" t="inlineStr">
        <is>
          <t>André</t>
        </is>
      </c>
      <c r="J12" s="68" t="n"/>
    </row>
    <row r="13" ht="15" customHeight="1" s="69">
      <c r="A13" s="38" t="n">
        <v>4</v>
      </c>
      <c r="B13" s="68" t="inlineStr">
        <is>
          <t>TXJ-3C03</t>
        </is>
      </c>
      <c r="C13" s="68" t="n">
        <v>2</v>
      </c>
      <c r="D13" s="35" t="n">
        <v>46125</v>
      </c>
      <c r="E13" s="35" t="n">
        <v>46129</v>
      </c>
      <c r="F13" s="68" t="n">
        <v>8694</v>
      </c>
      <c r="G13" s="68" t="n">
        <v>8943</v>
      </c>
      <c r="H13" s="68">
        <f>G18-F18</f>
        <v/>
      </c>
      <c r="I13" s="37" t="inlineStr">
        <is>
          <t>Thayna</t>
        </is>
      </c>
      <c r="J13" s="68" t="n"/>
    </row>
    <row r="14" ht="15" customHeight="1" s="69">
      <c r="A14" s="39" t="n">
        <v>2</v>
      </c>
      <c r="B14" s="67" t="inlineStr">
        <is>
          <t>TYA-2J42</t>
        </is>
      </c>
      <c r="C14" s="67" t="n">
        <v>3</v>
      </c>
      <c r="D14" s="43" t="n">
        <v>46132</v>
      </c>
      <c r="E14" s="43" t="n">
        <v>46136</v>
      </c>
      <c r="F14" s="67" t="n">
        <v>16736</v>
      </c>
      <c r="G14" s="67" t="n">
        <v>16989</v>
      </c>
      <c r="H14" s="67">
        <f>G20-F20</f>
        <v/>
      </c>
      <c r="I14" s="41" t="inlineStr">
        <is>
          <t>Henrique</t>
        </is>
      </c>
      <c r="J14" s="67" t="n"/>
    </row>
    <row r="15" ht="15" customHeight="1" s="69">
      <c r="A15" s="39" t="n">
        <v>3</v>
      </c>
      <c r="B15" s="67" t="inlineStr">
        <is>
          <t>TXV-9E58</t>
        </is>
      </c>
      <c r="C15" s="67" t="n">
        <v>3</v>
      </c>
      <c r="D15" s="43" t="n">
        <v>46132</v>
      </c>
      <c r="E15" s="43" t="n">
        <v>46136</v>
      </c>
      <c r="F15" s="67" t="n">
        <v>17726</v>
      </c>
      <c r="G15" s="67" t="n">
        <v>17964</v>
      </c>
      <c r="H15" s="67">
        <f>G21-F21</f>
        <v/>
      </c>
      <c r="I15" s="41" t="inlineStr">
        <is>
          <t>André</t>
        </is>
      </c>
      <c r="J15" s="67" t="n"/>
    </row>
    <row r="16" ht="15" customHeight="1" s="69">
      <c r="A16" s="39" t="n">
        <v>4</v>
      </c>
      <c r="B16" s="67" t="inlineStr">
        <is>
          <t>TXJ-3C03</t>
        </is>
      </c>
      <c r="C16" s="67" t="n">
        <v>3</v>
      </c>
      <c r="D16" s="43" t="n">
        <v>46132</v>
      </c>
      <c r="E16" s="43" t="n">
        <v>46136</v>
      </c>
      <c r="F16" s="67" t="n">
        <v>8943</v>
      </c>
      <c r="G16" s="67" t="n">
        <v>9187</v>
      </c>
      <c r="H16" s="67">
        <f>G22-F22</f>
        <v/>
      </c>
      <c r="I16" s="41" t="inlineStr">
        <is>
          <t>Thayna</t>
        </is>
      </c>
      <c r="J16" s="67" t="n"/>
    </row>
    <row r="17" ht="15" customHeight="1" s="69">
      <c r="A17" s="38" t="n">
        <v>2</v>
      </c>
      <c r="B17" s="68" t="inlineStr">
        <is>
          <t>TYA-2J42</t>
        </is>
      </c>
      <c r="C17" s="68" t="n">
        <v>4</v>
      </c>
      <c r="D17" s="35" t="n">
        <v>46139</v>
      </c>
      <c r="E17" s="35" t="n">
        <v>46143</v>
      </c>
      <c r="F17" s="68" t="n">
        <v>16989</v>
      </c>
      <c r="G17" s="68" t="n">
        <v>17201</v>
      </c>
      <c r="H17" s="68">
        <f>G24-F24</f>
        <v/>
      </c>
      <c r="I17" s="37" t="inlineStr">
        <is>
          <t>Henrique</t>
        </is>
      </c>
      <c r="J17" s="68" t="n"/>
    </row>
    <row r="18" ht="15" customHeight="1" s="69">
      <c r="A18" s="38" t="n">
        <v>3</v>
      </c>
      <c r="B18" s="68" t="inlineStr">
        <is>
          <t>TXV-9E58</t>
        </is>
      </c>
      <c r="C18" s="68" t="n">
        <v>4</v>
      </c>
      <c r="D18" s="35" t="n">
        <v>46139</v>
      </c>
      <c r="E18" s="35" t="n">
        <v>46143</v>
      </c>
      <c r="F18" s="68" t="n">
        <v>17964</v>
      </c>
      <c r="G18" s="68" t="n">
        <v>18169</v>
      </c>
      <c r="H18" s="68">
        <f>G25-F25</f>
        <v/>
      </c>
      <c r="I18" s="37" t="inlineStr">
        <is>
          <t>André</t>
        </is>
      </c>
      <c r="J18" s="68" t="n"/>
    </row>
    <row r="19" ht="15" customHeight="1" s="69">
      <c r="A19" s="38" t="n">
        <v>4</v>
      </c>
      <c r="B19" s="68" t="inlineStr">
        <is>
          <t>TXJ-3C03</t>
        </is>
      </c>
      <c r="C19" s="68" t="n">
        <v>4</v>
      </c>
      <c r="D19" s="35" t="n">
        <v>46139</v>
      </c>
      <c r="E19" s="35" t="n">
        <v>46143</v>
      </c>
      <c r="F19" s="68" t="n">
        <v>9187</v>
      </c>
      <c r="G19" s="68" t="n">
        <v>10517</v>
      </c>
      <c r="H19" s="68">
        <f>G26-F26</f>
        <v/>
      </c>
      <c r="I19" s="37" t="inlineStr">
        <is>
          <t>Thayna</t>
        </is>
      </c>
      <c r="J19" s="68" t="n"/>
    </row>
    <row r="20" ht="15" customHeight="1" s="69">
      <c r="A20" s="38" t="n">
        <v>3</v>
      </c>
      <c r="B20" s="68" t="inlineStr">
        <is>
          <t>TXV-9E58</t>
        </is>
      </c>
      <c r="C20" s="68" t="n">
        <v>1</v>
      </c>
      <c r="D20" s="35" t="n">
        <v>46146</v>
      </c>
      <c r="E20" s="35" t="n">
        <v>46150</v>
      </c>
      <c r="F20" s="68" t="n">
        <v>18169</v>
      </c>
      <c r="G20" s="68" t="n">
        <v>18408</v>
      </c>
      <c r="H20" s="68">
        <f>G28-F28</f>
        <v/>
      </c>
      <c r="I20" s="37" t="inlineStr">
        <is>
          <t>André</t>
        </is>
      </c>
      <c r="J20" s="68" t="n"/>
    </row>
    <row r="21" ht="15" customHeight="1" s="69">
      <c r="A21" s="39" t="n">
        <v>3</v>
      </c>
      <c r="B21" s="67" t="inlineStr">
        <is>
          <t>TXV-9E58</t>
        </is>
      </c>
      <c r="C21" s="67" t="n">
        <v>2</v>
      </c>
      <c r="D21" s="43" t="n">
        <v>46153</v>
      </c>
      <c r="E21" s="43" t="n">
        <v>46157</v>
      </c>
      <c r="F21" s="67" t="n">
        <v>18408</v>
      </c>
      <c r="G21" s="67" t="n">
        <v>18605</v>
      </c>
      <c r="H21" s="68">
        <f>G29-F29</f>
        <v/>
      </c>
      <c r="I21" s="41" t="inlineStr">
        <is>
          <t>André</t>
        </is>
      </c>
    </row>
    <row r="22" ht="15" customHeight="1" s="69">
      <c r="A22" s="38" t="n">
        <v>4</v>
      </c>
      <c r="B22" s="68" t="inlineStr">
        <is>
          <t>TXJ-3C03</t>
        </is>
      </c>
      <c r="C22" s="68" t="n">
        <v>1</v>
      </c>
      <c r="D22" s="35" t="n">
        <v>46143</v>
      </c>
      <c r="E22" s="35" t="n">
        <v>46150</v>
      </c>
      <c r="F22" s="68" t="n">
        <v>10517</v>
      </c>
      <c r="G22" s="68" t="n">
        <v>10692</v>
      </c>
      <c r="H22" s="68">
        <f>G33-F33</f>
        <v/>
      </c>
      <c r="I22" s="37" t="inlineStr">
        <is>
          <t>Thayna</t>
        </is>
      </c>
      <c r="J22" s="68" t="n"/>
    </row>
    <row r="23" ht="15" customHeight="1" s="69">
      <c r="A23" s="38" t="n">
        <v>2</v>
      </c>
      <c r="B23" s="68" t="inlineStr">
        <is>
          <t>TYA-2J42</t>
        </is>
      </c>
      <c r="C23" s="68" t="n">
        <v>4</v>
      </c>
      <c r="D23" s="35" t="n">
        <v>46146</v>
      </c>
      <c r="E23" s="35" t="n">
        <v>46150</v>
      </c>
      <c r="F23" s="68" t="n">
        <v>17201</v>
      </c>
      <c r="G23" s="68" t="n">
        <v>17452</v>
      </c>
      <c r="H23" s="68">
        <f>G34-F34</f>
        <v/>
      </c>
      <c r="I23" s="37" t="inlineStr">
        <is>
          <t>Henrique</t>
        </is>
      </c>
      <c r="J23" s="68" t="n"/>
    </row>
    <row r="24" ht="15" customHeight="1" s="69">
      <c r="A24" s="38" t="n">
        <v>3</v>
      </c>
      <c r="B24" s="68" t="inlineStr">
        <is>
          <t>TXV-9E58</t>
        </is>
      </c>
      <c r="C24" s="68" t="n">
        <v>4</v>
      </c>
      <c r="D24" s="35" t="n">
        <v>46139</v>
      </c>
      <c r="E24" s="35" t="n">
        <v>46143</v>
      </c>
      <c r="F24" s="68" t="n">
        <v>18605</v>
      </c>
      <c r="G24" s="68" t="n">
        <v>18805</v>
      </c>
      <c r="H24" s="68">
        <f>G35-F35</f>
        <v/>
      </c>
      <c r="I24" s="37" t="inlineStr">
        <is>
          <t>André</t>
        </is>
      </c>
      <c r="J24" s="68" t="n"/>
    </row>
    <row r="25" ht="15" customHeight="1" s="69">
      <c r="A25" s="38" t="n">
        <v>4</v>
      </c>
      <c r="B25" s="68" t="inlineStr">
        <is>
          <t>TXJ-3C03</t>
        </is>
      </c>
      <c r="C25" s="68" t="n">
        <v>1</v>
      </c>
      <c r="D25" s="35" t="n">
        <v>46153</v>
      </c>
      <c r="E25" s="35" t="n">
        <v>46157</v>
      </c>
      <c r="F25" s="68" t="n">
        <v>10692</v>
      </c>
      <c r="G25" s="68" t="n">
        <v>10922</v>
      </c>
      <c r="H25" s="68">
        <f>G36-F36</f>
        <v/>
      </c>
      <c r="I25" s="37" t="inlineStr">
        <is>
          <t>Thayna</t>
        </is>
      </c>
      <c r="J25" s="68" t="n"/>
    </row>
    <row r="26" ht="15" customHeight="1" s="69">
      <c r="A26" s="38" t="n">
        <v>2</v>
      </c>
      <c r="B26" s="68" t="inlineStr">
        <is>
          <t>TYA-2J42</t>
        </is>
      </c>
      <c r="C26" s="68" t="n">
        <v>4</v>
      </c>
      <c r="D26" s="35" t="n">
        <v>46153</v>
      </c>
      <c r="E26" s="35" t="n">
        <v>46157</v>
      </c>
      <c r="F26" s="68" t="n">
        <v>17452</v>
      </c>
      <c r="G26" s="68" t="n">
        <v>17669</v>
      </c>
      <c r="H26" s="68">
        <f>G37-F37</f>
        <v/>
      </c>
      <c r="I26" s="37" t="inlineStr">
        <is>
          <t>Henrique</t>
        </is>
      </c>
      <c r="J26" s="68" t="n"/>
    </row>
    <row r="27" ht="15" customHeight="1" s="69">
      <c r="A27" s="38" t="n">
        <v>3</v>
      </c>
      <c r="B27" s="68" t="inlineStr">
        <is>
          <t>TXV-9E58</t>
        </is>
      </c>
      <c r="C27" s="68" t="n">
        <v>4</v>
      </c>
      <c r="D27" s="35" t="n">
        <v>46139</v>
      </c>
      <c r="E27" s="35" t="n">
        <v>46143</v>
      </c>
      <c r="F27" s="68" t="n">
        <v>18805</v>
      </c>
      <c r="G27" s="68" t="n">
        <v>18998</v>
      </c>
      <c r="H27" s="68">
        <f>G38-F38</f>
        <v/>
      </c>
      <c r="I27" s="37" t="inlineStr">
        <is>
          <t>André</t>
        </is>
      </c>
      <c r="J27" s="68" t="n"/>
    </row>
    <row r="28" ht="15" customHeight="1" s="69">
      <c r="A28" s="38" t="n">
        <v>4</v>
      </c>
      <c r="B28" s="68" t="inlineStr">
        <is>
          <t>TXJ-3C03</t>
        </is>
      </c>
      <c r="C28" s="68" t="n">
        <v>1</v>
      </c>
      <c r="D28" s="35" t="n">
        <v>46160</v>
      </c>
      <c r="E28" s="35" t="n">
        <v>46164</v>
      </c>
      <c r="F28" s="68" t="n">
        <v>10922</v>
      </c>
      <c r="G28" s="68" t="n">
        <v>11138</v>
      </c>
      <c r="H28" s="68">
        <f>G39-F39</f>
        <v/>
      </c>
      <c r="I28" s="37" t="inlineStr">
        <is>
          <t>Thayna</t>
        </is>
      </c>
      <c r="J28" s="68" t="n"/>
    </row>
    <row r="29" ht="15" customHeight="1" s="69">
      <c r="A29" s="38" t="n">
        <v>2</v>
      </c>
      <c r="B29" s="68" t="inlineStr">
        <is>
          <t>TYA-2J42</t>
        </is>
      </c>
      <c r="C29" s="68" t="n">
        <v>4</v>
      </c>
      <c r="D29" s="35" t="n">
        <v>46160</v>
      </c>
      <c r="E29" s="35" t="n">
        <v>46164</v>
      </c>
      <c r="F29" s="68" t="n">
        <v>17669</v>
      </c>
      <c r="G29" s="68" t="n">
        <v>17892</v>
      </c>
      <c r="H29" s="68">
        <f>G40-F40</f>
        <v/>
      </c>
      <c r="I29" s="37" t="inlineStr">
        <is>
          <t>Henrique</t>
        </is>
      </c>
      <c r="J29" s="68" t="n"/>
    </row>
    <row r="30" ht="15" customHeight="1" s="69">
      <c r="A30" s="38" t="n">
        <v>3</v>
      </c>
      <c r="B30" s="68" t="inlineStr">
        <is>
          <t>TXV-9E58</t>
        </is>
      </c>
      <c r="C30" s="68" t="n">
        <v>4</v>
      </c>
      <c r="D30" s="35" t="n">
        <v>46160</v>
      </c>
      <c r="E30" s="35" t="n">
        <v>46164</v>
      </c>
      <c r="F30" s="68" t="n">
        <v>18805</v>
      </c>
      <c r="G30" s="68" t="n">
        <v>19005</v>
      </c>
      <c r="H30" s="68">
        <f>G41-F41</f>
        <v/>
      </c>
      <c r="I30" s="37" t="inlineStr">
        <is>
          <t>André</t>
        </is>
      </c>
      <c r="J30" s="68" t="n"/>
    </row>
    <row r="31" ht="15" customHeight="1" s="69">
      <c r="A31" s="38" t="n">
        <v>4</v>
      </c>
      <c r="B31" s="68" t="inlineStr">
        <is>
          <t>TXJ-3C03</t>
        </is>
      </c>
      <c r="C31" s="68" t="n">
        <v>1</v>
      </c>
      <c r="D31" s="35" t="n">
        <v>46167</v>
      </c>
      <c r="E31" s="35" t="n">
        <v>46171</v>
      </c>
      <c r="F31" s="68" t="n">
        <v>11138</v>
      </c>
      <c r="G31" s="68" t="n">
        <v>11300</v>
      </c>
      <c r="H31" s="68">
        <f>G42-F42</f>
        <v/>
      </c>
      <c r="I31" s="37" t="inlineStr">
        <is>
          <t>Thayna</t>
        </is>
      </c>
      <c r="J31" s="68" t="n"/>
    </row>
    <row r="32" ht="15" customHeight="1" s="69">
      <c r="A32" s="38" t="n">
        <v>2</v>
      </c>
      <c r="B32" s="68" t="inlineStr">
        <is>
          <t>TYA-2J42</t>
        </is>
      </c>
      <c r="C32" s="68" t="n">
        <v>4</v>
      </c>
      <c r="D32" s="35" t="n">
        <v>46167</v>
      </c>
      <c r="E32" s="35" t="n">
        <v>46171</v>
      </c>
      <c r="F32" s="68" t="n">
        <v>17892</v>
      </c>
      <c r="G32" s="68" t="n">
        <v>18146</v>
      </c>
      <c r="H32" s="68">
        <f>G43-F43</f>
        <v/>
      </c>
      <c r="I32" s="37" t="inlineStr">
        <is>
          <t>Henrique</t>
        </is>
      </c>
      <c r="J32" s="68" t="n"/>
    </row>
    <row r="33" ht="15" customHeight="1" s="69">
      <c r="A33" s="38" t="n">
        <v>3</v>
      </c>
      <c r="B33" s="68" t="inlineStr">
        <is>
          <t>TXV-9E58</t>
        </is>
      </c>
      <c r="C33" s="68" t="n">
        <v>4</v>
      </c>
      <c r="D33" s="35" t="n">
        <v>46167</v>
      </c>
      <c r="E33" s="35" t="n">
        <v>46171</v>
      </c>
      <c r="F33" s="68" t="n">
        <v>19005</v>
      </c>
      <c r="G33" s="68" t="n">
        <v>19304</v>
      </c>
      <c r="H33" s="68">
        <f>G44-F44</f>
        <v/>
      </c>
      <c r="I33" s="37" t="inlineStr">
        <is>
          <t>André</t>
        </is>
      </c>
      <c r="J33" s="68" t="n"/>
    </row>
    <row r="34" ht="15" customHeight="1" s="69">
      <c r="A34" s="38" t="n">
        <v>4</v>
      </c>
      <c r="B34" s="68" t="inlineStr">
        <is>
          <t>TXJ-3C03</t>
        </is>
      </c>
      <c r="C34" s="68" t="n">
        <v>1</v>
      </c>
      <c r="D34" s="35" t="n">
        <v>46174</v>
      </c>
      <c r="E34" s="35" t="n">
        <v>46178</v>
      </c>
      <c r="F34" s="68" t="n">
        <v>11300</v>
      </c>
      <c r="G34" s="68" t="n">
        <v>11494</v>
      </c>
      <c r="H34" s="68">
        <f>G45-F45</f>
        <v/>
      </c>
      <c r="I34" s="37" t="inlineStr">
        <is>
          <t>Thayna</t>
        </is>
      </c>
      <c r="J34" s="68" t="n"/>
    </row>
    <row r="35" ht="15" customHeight="1" s="69">
      <c r="A35" s="38" t="n">
        <v>2</v>
      </c>
      <c r="B35" s="68" t="inlineStr">
        <is>
          <t>TYA-2J42</t>
        </is>
      </c>
      <c r="C35" s="68" t="n">
        <v>4</v>
      </c>
      <c r="D35" s="35" t="n">
        <v>46174</v>
      </c>
      <c r="E35" s="35" t="n">
        <v>46178</v>
      </c>
      <c r="F35" s="68" t="n">
        <v>18146</v>
      </c>
      <c r="G35" s="68" t="n">
        <v>18450</v>
      </c>
      <c r="H35" s="68">
        <f>G46-F46</f>
        <v/>
      </c>
      <c r="I35" s="37" t="inlineStr">
        <is>
          <t>Henrique</t>
        </is>
      </c>
      <c r="J35" s="68" t="n"/>
    </row>
    <row r="36" ht="15" customHeight="1" s="69">
      <c r="A36" s="38" t="n">
        <v>3</v>
      </c>
      <c r="B36" s="68" t="inlineStr">
        <is>
          <t>TXV-9E58</t>
        </is>
      </c>
      <c r="C36" s="68" t="n">
        <v>4</v>
      </c>
      <c r="D36" s="35" t="n">
        <v>46174</v>
      </c>
      <c r="E36" s="35" t="n">
        <v>46178</v>
      </c>
      <c r="F36" s="68" t="n">
        <v>19304</v>
      </c>
      <c r="G36" s="68" t="n">
        <v>19591</v>
      </c>
      <c r="H36" s="68">
        <f>G47-F47</f>
        <v/>
      </c>
      <c r="I36" s="37" t="inlineStr">
        <is>
          <t>André</t>
        </is>
      </c>
      <c r="J36" s="68" t="n"/>
    </row>
    <row r="37" ht="15" customHeight="1" s="69">
      <c r="A37" s="38" t="n">
        <v>4</v>
      </c>
      <c r="B37" s="68" t="inlineStr">
        <is>
          <t>TXJ-3C03</t>
        </is>
      </c>
      <c r="C37" s="68" t="n">
        <v>1</v>
      </c>
      <c r="D37" s="35" t="n">
        <v>46181</v>
      </c>
      <c r="E37" s="35" t="n">
        <v>46185</v>
      </c>
      <c r="F37" s="68" t="n">
        <v>11494</v>
      </c>
      <c r="G37" s="68" t="n">
        <v>11707</v>
      </c>
      <c r="H37" s="68">
        <f>G48-F48</f>
        <v/>
      </c>
      <c r="I37" s="37" t="inlineStr">
        <is>
          <t>Thayna</t>
        </is>
      </c>
      <c r="J37" s="68" t="n"/>
    </row>
    <row r="38" ht="15" customHeight="1" s="69">
      <c r="A38" s="38" t="n">
        <v>2</v>
      </c>
      <c r="B38" s="68" t="inlineStr">
        <is>
          <t>TYA-2J42</t>
        </is>
      </c>
      <c r="C38" s="68" t="n">
        <v>4</v>
      </c>
      <c r="D38" s="35" t="n">
        <v>46181</v>
      </c>
      <c r="E38" s="35" t="n">
        <v>46185</v>
      </c>
      <c r="F38" s="68" t="n">
        <v>18450</v>
      </c>
      <c r="G38" s="68" t="n">
        <v>18711</v>
      </c>
      <c r="H38" s="68">
        <f>G49-F49</f>
        <v/>
      </c>
      <c r="I38" s="37" t="inlineStr">
        <is>
          <t>Henrique</t>
        </is>
      </c>
      <c r="J38" s="68" t="n"/>
    </row>
    <row r="39" ht="15" customHeight="1" s="69">
      <c r="A39" s="38" t="n">
        <v>3</v>
      </c>
      <c r="B39" s="68" t="inlineStr">
        <is>
          <t>TXV-9E58</t>
        </is>
      </c>
      <c r="C39" s="68" t="n">
        <v>4</v>
      </c>
      <c r="D39" s="35" t="n">
        <v>46181</v>
      </c>
      <c r="E39" s="35" t="n">
        <v>46185</v>
      </c>
      <c r="F39" s="68" t="n">
        <v>19591</v>
      </c>
      <c r="G39" s="68" t="n">
        <v>19895</v>
      </c>
      <c r="H39" s="68">
        <f>G50-F50</f>
        <v/>
      </c>
      <c r="I39" s="37" t="inlineStr">
        <is>
          <t>André</t>
        </is>
      </c>
      <c r="J39" s="68" t="n"/>
    </row>
    <row r="40" ht="15" customHeight="1" s="69">
      <c r="A40" s="38" t="n">
        <v>4</v>
      </c>
      <c r="B40" s="68" t="inlineStr">
        <is>
          <t>TXJ-3C03</t>
        </is>
      </c>
      <c r="C40" s="68" t="n">
        <v>1</v>
      </c>
      <c r="D40" s="35" t="n">
        <v>46188</v>
      </c>
      <c r="E40" s="35" t="n">
        <v>46192</v>
      </c>
      <c r="F40" s="68" t="n">
        <v>11707</v>
      </c>
      <c r="G40" s="68" t="n">
        <v>11886</v>
      </c>
      <c r="H40" s="68">
        <f>G51-F51</f>
        <v/>
      </c>
      <c r="I40" s="37" t="inlineStr">
        <is>
          <t>Thayna</t>
        </is>
      </c>
      <c r="J40" s="68" t="n"/>
    </row>
    <row r="41" ht="15" customHeight="1" s="69">
      <c r="A41" s="38" t="n">
        <v>2</v>
      </c>
      <c r="B41" s="68" t="inlineStr">
        <is>
          <t>TYA-2J42</t>
        </is>
      </c>
      <c r="C41" s="68" t="n">
        <v>4</v>
      </c>
      <c r="D41" s="35" t="n">
        <v>46188</v>
      </c>
      <c r="E41" s="35" t="n">
        <v>46192</v>
      </c>
      <c r="F41" s="68" t="n">
        <v>18711</v>
      </c>
      <c r="G41" s="68" t="n">
        <v>18984</v>
      </c>
      <c r="H41" s="68">
        <f>G52-F52</f>
        <v/>
      </c>
      <c r="I41" s="37" t="inlineStr">
        <is>
          <t>Henrique</t>
        </is>
      </c>
      <c r="J41" s="68" t="n"/>
    </row>
    <row r="42" ht="15" customHeight="1" s="69">
      <c r="A42" s="38" t="n">
        <v>3</v>
      </c>
      <c r="B42" s="68" t="inlineStr">
        <is>
          <t>TXV-9E58</t>
        </is>
      </c>
      <c r="C42" s="68" t="n">
        <v>4</v>
      </c>
      <c r="D42" s="35" t="n">
        <v>46188</v>
      </c>
      <c r="E42" s="35" t="n">
        <v>46192</v>
      </c>
      <c r="F42" s="68" t="n">
        <v>19895</v>
      </c>
      <c r="G42" s="68" t="n">
        <v>20144</v>
      </c>
      <c r="H42" s="68">
        <f>G53-F53</f>
        <v/>
      </c>
      <c r="I42" s="37" t="inlineStr">
        <is>
          <t>André</t>
        </is>
      </c>
      <c r="J42" s="68" t="n"/>
    </row>
    <row r="43" ht="15" customHeight="1" s="69">
      <c r="A43" s="38" t="n">
        <v>4</v>
      </c>
      <c r="B43" s="68" t="inlineStr">
        <is>
          <t>TXJ-3C03</t>
        </is>
      </c>
      <c r="C43" s="68" t="n">
        <v>1</v>
      </c>
      <c r="D43" s="35" t="n">
        <v>46195</v>
      </c>
      <c r="E43" s="35" t="n">
        <v>46199</v>
      </c>
      <c r="F43" s="68" t="n">
        <v>11886</v>
      </c>
      <c r="G43" s="68" t="n">
        <v>12129</v>
      </c>
      <c r="H43" s="68">
        <f>G54-F54</f>
        <v/>
      </c>
      <c r="I43" s="37" t="inlineStr">
        <is>
          <t>Thayna</t>
        </is>
      </c>
      <c r="J43" s="68" t="n"/>
    </row>
    <row r="44" ht="15" customHeight="1" s="69">
      <c r="A44" s="38" t="n">
        <v>2</v>
      </c>
      <c r="B44" s="68" t="inlineStr">
        <is>
          <t>TYA-2J42</t>
        </is>
      </c>
      <c r="C44" s="68" t="n">
        <v>4</v>
      </c>
      <c r="D44" s="35" t="n">
        <v>46195</v>
      </c>
      <c r="E44" s="35" t="n">
        <v>46199</v>
      </c>
      <c r="F44" s="68" t="n">
        <v>18984</v>
      </c>
      <c r="G44" s="68" t="n">
        <v>19231</v>
      </c>
      <c r="H44" s="68">
        <f>G55-F55</f>
        <v/>
      </c>
      <c r="I44" s="37" t="inlineStr">
        <is>
          <t>Henrique</t>
        </is>
      </c>
      <c r="J44" s="68" t="n"/>
    </row>
    <row r="45" ht="15" customHeight="1" s="69">
      <c r="A45" s="38" t="n">
        <v>3</v>
      </c>
      <c r="B45" s="68" t="inlineStr">
        <is>
          <t>TXV-9E58</t>
        </is>
      </c>
      <c r="C45" s="68" t="n">
        <v>4</v>
      </c>
      <c r="D45" s="35" t="n">
        <v>46195</v>
      </c>
      <c r="E45" s="35" t="n">
        <v>46199</v>
      </c>
      <c r="F45" s="68" t="n">
        <v>20144</v>
      </c>
      <c r="G45" s="68" t="n">
        <v>20419</v>
      </c>
      <c r="H45" s="68">
        <f>G56-F56</f>
        <v/>
      </c>
      <c r="I45" s="37" t="inlineStr">
        <is>
          <t>André</t>
        </is>
      </c>
      <c r="J45" s="68" t="n"/>
    </row>
    <row r="46" ht="15" customHeight="1" s="69">
      <c r="A46" s="38" t="n">
        <v>4</v>
      </c>
      <c r="B46" s="68" t="inlineStr">
        <is>
          <t>TXJ-3C03</t>
        </is>
      </c>
      <c r="C46" s="68" t="n">
        <v>1</v>
      </c>
      <c r="D46" s="35" t="n">
        <v>46202</v>
      </c>
      <c r="E46" s="35" t="n">
        <v>46206</v>
      </c>
      <c r="F46" s="68" t="n">
        <v>12129</v>
      </c>
      <c r="G46" s="68" t="n">
        <v>12361</v>
      </c>
      <c r="H46" s="68">
        <f>G57-F57</f>
        <v/>
      </c>
      <c r="I46" s="37" t="inlineStr">
        <is>
          <t>Thayna</t>
        </is>
      </c>
      <c r="J46" s="68" t="n"/>
    </row>
    <row r="47" ht="15" customHeight="1" s="69">
      <c r="A47" s="38" t="n">
        <v>2</v>
      </c>
      <c r="B47" s="68" t="inlineStr">
        <is>
          <t>TYA-2J42</t>
        </is>
      </c>
      <c r="C47" s="68" t="n">
        <v>4</v>
      </c>
      <c r="D47" s="35" t="n">
        <v>46202</v>
      </c>
      <c r="E47" s="35" t="n">
        <v>46206</v>
      </c>
      <c r="F47" s="68" t="n">
        <v>19231</v>
      </c>
      <c r="G47" s="68" t="n">
        <v>19506</v>
      </c>
      <c r="H47" s="68">
        <f>G58-F58</f>
        <v/>
      </c>
      <c r="I47" s="37" t="inlineStr">
        <is>
          <t>Henrique</t>
        </is>
      </c>
      <c r="J47" s="68" t="n"/>
    </row>
    <row r="48" ht="15" customHeight="1" s="69">
      <c r="A48" s="38" t="n">
        <v>3</v>
      </c>
      <c r="B48" s="68" t="inlineStr">
        <is>
          <t>TXV-9E58</t>
        </is>
      </c>
      <c r="C48" s="68" t="n">
        <v>4</v>
      </c>
      <c r="D48" s="35" t="n">
        <v>46202</v>
      </c>
      <c r="E48" s="35" t="n">
        <v>46206</v>
      </c>
      <c r="F48" s="68" t="n">
        <v>20419</v>
      </c>
      <c r="G48" s="68" t="n">
        <v>20673</v>
      </c>
      <c r="H48" s="68">
        <f>G59-F59</f>
        <v/>
      </c>
      <c r="I48" s="37" t="inlineStr">
        <is>
          <t>André</t>
        </is>
      </c>
      <c r="J48" s="68" t="n"/>
    </row>
    <row r="49" ht="15" customHeight="1" s="69">
      <c r="A49" s="38" t="n">
        <v>4</v>
      </c>
      <c r="B49" s="68" t="inlineStr">
        <is>
          <t>TXJ-3C03</t>
        </is>
      </c>
      <c r="C49" s="68" t="n">
        <v>1</v>
      </c>
      <c r="D49" s="35" t="n">
        <v>46209</v>
      </c>
      <c r="E49" s="35" t="n">
        <v>46213</v>
      </c>
      <c r="F49" s="68" t="n">
        <v>12361</v>
      </c>
      <c r="G49" s="68" t="n">
        <v>12604</v>
      </c>
      <c r="H49" s="68">
        <f>G60-F60</f>
        <v/>
      </c>
      <c r="I49" s="37" t="inlineStr">
        <is>
          <t>Thayna</t>
        </is>
      </c>
      <c r="J49" s="68" t="n"/>
    </row>
    <row r="50" ht="15" customHeight="1" s="69">
      <c r="A50" s="38" t="n">
        <v>2</v>
      </c>
      <c r="B50" s="68" t="inlineStr">
        <is>
          <t>TYA-2J42</t>
        </is>
      </c>
      <c r="C50" s="68" t="n">
        <v>4</v>
      </c>
      <c r="D50" s="35" t="n">
        <v>46209</v>
      </c>
      <c r="E50" s="35" t="n">
        <v>46213</v>
      </c>
      <c r="F50" s="68" t="n">
        <v>19506</v>
      </c>
      <c r="G50" s="68" t="n">
        <v>19751</v>
      </c>
      <c r="H50" s="68">
        <f>G61-F61</f>
        <v/>
      </c>
      <c r="I50" s="37" t="inlineStr">
        <is>
          <t>Henrique</t>
        </is>
      </c>
      <c r="J50" s="68" t="n"/>
    </row>
    <row r="51" ht="15" customHeight="1" s="69">
      <c r="A51" s="38" t="n">
        <v>3</v>
      </c>
      <c r="B51" s="68" t="inlineStr">
        <is>
          <t>TXV-9E58</t>
        </is>
      </c>
      <c r="C51" s="68" t="n">
        <v>4</v>
      </c>
      <c r="D51" s="35" t="n">
        <v>46209</v>
      </c>
      <c r="E51" s="35" t="n">
        <v>46213</v>
      </c>
      <c r="F51" s="68" t="n">
        <v>20673</v>
      </c>
      <c r="G51" s="68" t="n">
        <v>20934</v>
      </c>
      <c r="H51" s="68">
        <f>G62-F62</f>
        <v/>
      </c>
      <c r="I51" s="37" t="inlineStr">
        <is>
          <t>André</t>
        </is>
      </c>
      <c r="J51" s="68" t="n"/>
    </row>
    <row r="52" ht="15" customHeight="1" s="69">
      <c r="A52" s="38" t="n">
        <v>4</v>
      </c>
      <c r="B52" s="68" t="inlineStr">
        <is>
          <t>TXJ-3C03</t>
        </is>
      </c>
      <c r="C52" s="68" t="n">
        <v>1</v>
      </c>
      <c r="D52" s="35" t="n">
        <v>46216</v>
      </c>
      <c r="E52" s="35" t="n">
        <v>46220</v>
      </c>
      <c r="F52" s="68" t="n">
        <v>12604</v>
      </c>
      <c r="G52" s="68" t="n">
        <v>12842</v>
      </c>
      <c r="H52" s="68">
        <f>G63-F63</f>
        <v/>
      </c>
      <c r="I52" s="37" t="inlineStr">
        <is>
          <t>Thayna</t>
        </is>
      </c>
      <c r="J52" s="68" t="n"/>
    </row>
    <row r="53" ht="15" customHeight="1" s="69">
      <c r="A53" s="38" t="n">
        <v>2</v>
      </c>
      <c r="B53" s="68" t="inlineStr">
        <is>
          <t>TYA-2J42</t>
        </is>
      </c>
      <c r="C53" s="68" t="n">
        <v>4</v>
      </c>
      <c r="D53" s="35" t="n">
        <v>46216</v>
      </c>
      <c r="E53" s="35" t="n">
        <v>46220</v>
      </c>
      <c r="F53" s="68" t="n">
        <v>19751</v>
      </c>
      <c r="G53" s="68" t="n">
        <v>20022</v>
      </c>
      <c r="H53" s="68">
        <f>G64-F64</f>
        <v/>
      </c>
      <c r="I53" s="37" t="inlineStr">
        <is>
          <t>Henrique</t>
        </is>
      </c>
      <c r="J53" s="68" t="n"/>
    </row>
    <row r="54" ht="15" customHeight="1" s="69">
      <c r="A54" s="38" t="n">
        <v>3</v>
      </c>
      <c r="B54" s="68" t="inlineStr">
        <is>
          <t>TXV-9E58</t>
        </is>
      </c>
      <c r="C54" s="68" t="n">
        <v>4</v>
      </c>
      <c r="D54" s="35" t="n">
        <v>46216</v>
      </c>
      <c r="E54" s="35" t="n">
        <v>46220</v>
      </c>
      <c r="F54" s="68" t="n">
        <v>20934</v>
      </c>
      <c r="G54" s="68" t="n">
        <v>21190</v>
      </c>
      <c r="H54" s="68">
        <f>G65-F65</f>
        <v/>
      </c>
      <c r="I54" s="37" t="inlineStr">
        <is>
          <t>André</t>
        </is>
      </c>
      <c r="J54" s="68" t="n"/>
    </row>
    <row r="55" ht="15" customHeight="1" s="69">
      <c r="A55" s="38" t="n">
        <v>4</v>
      </c>
      <c r="B55" s="68" t="inlineStr">
        <is>
          <t>TXJ-3C03</t>
        </is>
      </c>
      <c r="C55" s="68" t="n">
        <v>1</v>
      </c>
      <c r="D55" s="35" t="n">
        <v>46223</v>
      </c>
      <c r="E55" s="35" t="n">
        <v>46227</v>
      </c>
      <c r="F55" s="68" t="n">
        <v>12842</v>
      </c>
      <c r="G55" s="68" t="n">
        <v>13098</v>
      </c>
      <c r="H55" s="68">
        <f>G66-F66</f>
        <v/>
      </c>
      <c r="I55" s="37" t="inlineStr">
        <is>
          <t>Thayna</t>
        </is>
      </c>
      <c r="J55" s="68" t="n"/>
    </row>
    <row r="56" ht="15" customHeight="1" s="69">
      <c r="A56" s="38" t="n">
        <v>2</v>
      </c>
      <c r="B56" s="68" t="inlineStr">
        <is>
          <t>TYA-2J42</t>
        </is>
      </c>
      <c r="C56" s="68" t="n">
        <v>4</v>
      </c>
      <c r="D56" s="35" t="n">
        <v>46223</v>
      </c>
      <c r="E56" s="35" t="n">
        <v>46227</v>
      </c>
      <c r="F56" s="68" t="n">
        <v>20022</v>
      </c>
      <c r="G56" s="68" t="n">
        <v>20270</v>
      </c>
      <c r="H56" s="68">
        <f>G67-F67</f>
        <v/>
      </c>
      <c r="I56" s="37" t="inlineStr">
        <is>
          <t>Henrique</t>
        </is>
      </c>
      <c r="J56" s="68" t="n"/>
    </row>
    <row r="57" ht="15" customHeight="1" s="69">
      <c r="A57" s="38" t="n">
        <v>3</v>
      </c>
      <c r="B57" s="68" t="inlineStr">
        <is>
          <t>TXV-9E58</t>
        </is>
      </c>
      <c r="C57" s="68" t="n">
        <v>4</v>
      </c>
      <c r="D57" s="35" t="n">
        <v>46223</v>
      </c>
      <c r="E57" s="35" t="n">
        <v>46227</v>
      </c>
      <c r="F57" s="68" t="n">
        <v>21190</v>
      </c>
      <c r="G57" s="68" t="n">
        <v>21398</v>
      </c>
      <c r="H57" s="68">
        <f>G68-F68</f>
        <v/>
      </c>
      <c r="I57" s="37" t="inlineStr">
        <is>
          <t>André</t>
        </is>
      </c>
      <c r="J57" s="68" t="n"/>
    </row>
    <row r="58" ht="15" customHeight="1" s="69">
      <c r="A58" s="38" t="n">
        <v>4</v>
      </c>
      <c r="B58" s="68" t="inlineStr">
        <is>
          <t>TXJ-3C03</t>
        </is>
      </c>
      <c r="C58" s="68" t="n">
        <v>1</v>
      </c>
      <c r="D58" s="35" t="n">
        <v>46230</v>
      </c>
      <c r="E58" s="35" t="n">
        <v>46234</v>
      </c>
      <c r="F58" s="68" t="n">
        <v>13098</v>
      </c>
      <c r="G58" s="68" t="n">
        <v>13327</v>
      </c>
      <c r="H58" s="68">
        <f>G69-F69</f>
        <v/>
      </c>
      <c r="I58" s="37" t="inlineStr">
        <is>
          <t>Thayna</t>
        </is>
      </c>
      <c r="J58" s="68" t="n"/>
    </row>
    <row r="59" ht="15" customHeight="1" s="69">
      <c r="A59" s="38" t="n">
        <v>2</v>
      </c>
      <c r="B59" s="68" t="inlineStr">
        <is>
          <t>TYA-2J42</t>
        </is>
      </c>
      <c r="C59" s="68" t="n">
        <v>4</v>
      </c>
      <c r="D59" s="35" t="n">
        <v>46230</v>
      </c>
      <c r="E59" s="35" t="n">
        <v>46234</v>
      </c>
      <c r="F59" s="68" t="n">
        <v>20270</v>
      </c>
      <c r="G59" s="68" t="n">
        <v>20583</v>
      </c>
      <c r="H59" s="68">
        <f>G70-F70</f>
        <v/>
      </c>
      <c r="I59" s="37" t="inlineStr">
        <is>
          <t>Henrique</t>
        </is>
      </c>
      <c r="J59" s="68" t="n"/>
    </row>
    <row r="60" ht="15" customHeight="1" s="69">
      <c r="A60" s="38" t="n">
        <v>3</v>
      </c>
      <c r="B60" s="68" t="inlineStr">
        <is>
          <t>TXV-9E58</t>
        </is>
      </c>
      <c r="C60" s="68" t="n">
        <v>4</v>
      </c>
      <c r="D60" s="35" t="n">
        <v>46230</v>
      </c>
      <c r="E60" s="35" t="n">
        <v>46234</v>
      </c>
      <c r="F60" s="68" t="n">
        <v>21398</v>
      </c>
      <c r="G60" s="68" t="n">
        <v>21262</v>
      </c>
      <c r="H60" s="68">
        <f>G71-F71</f>
        <v/>
      </c>
      <c r="I60" s="37" t="inlineStr">
        <is>
          <t>André</t>
        </is>
      </c>
      <c r="J60" s="68" t="n"/>
    </row>
    <row r="61" ht="15" customHeight="1" s="69">
      <c r="A61" s="38" t="n">
        <v>4</v>
      </c>
      <c r="B61" s="68" t="inlineStr">
        <is>
          <t>TXJ-3C03</t>
        </is>
      </c>
      <c r="C61" s="68" t="n">
        <v>1</v>
      </c>
      <c r="D61" s="35" t="n">
        <v>46237</v>
      </c>
      <c r="E61" s="35" t="n">
        <v>46241</v>
      </c>
      <c r="F61" s="68" t="n">
        <v>13327</v>
      </c>
      <c r="G61" s="68" t="n">
        <v>13573</v>
      </c>
      <c r="H61" s="68">
        <f>G72-F72</f>
        <v/>
      </c>
      <c r="I61" s="37" t="inlineStr">
        <is>
          <t>Thayna</t>
        </is>
      </c>
      <c r="J61" s="68" t="n"/>
    </row>
    <row r="62" ht="15" customHeight="1" s="69">
      <c r="A62" s="38" t="n">
        <v>2</v>
      </c>
      <c r="B62" s="68" t="inlineStr">
        <is>
          <t>TYA-2J42</t>
        </is>
      </c>
      <c r="C62" s="68" t="n">
        <v>4</v>
      </c>
      <c r="D62" s="35" t="n">
        <v>46237</v>
      </c>
      <c r="E62" s="35" t="n">
        <v>46241</v>
      </c>
      <c r="F62" s="68" t="n">
        <v>20583</v>
      </c>
      <c r="G62" s="68" t="n">
        <v>20857</v>
      </c>
      <c r="H62" s="68">
        <f>G73-F73</f>
        <v/>
      </c>
      <c r="I62" s="37" t="inlineStr">
        <is>
          <t>Henrique</t>
        </is>
      </c>
      <c r="J62" s="68" t="n"/>
    </row>
    <row r="63" ht="15" customHeight="1" s="69">
      <c r="A63" s="38" t="n">
        <v>3</v>
      </c>
      <c r="B63" s="68" t="inlineStr">
        <is>
          <t>TXV-9E58</t>
        </is>
      </c>
      <c r="C63" s="68" t="n">
        <v>4</v>
      </c>
      <c r="D63" s="35" t="n">
        <v>46237</v>
      </c>
      <c r="E63" s="35" t="n">
        <v>46241</v>
      </c>
      <c r="F63" s="68" t="n">
        <v>21262</v>
      </c>
      <c r="G63" s="68" t="n">
        <v>21660</v>
      </c>
      <c r="H63" s="68">
        <f>G74-F74</f>
        <v/>
      </c>
      <c r="I63" s="37" t="inlineStr">
        <is>
          <t>André</t>
        </is>
      </c>
      <c r="J63" s="68" t="n"/>
    </row>
    <row r="64" ht="15" customHeight="1" s="69">
      <c r="A64" s="38" t="n">
        <v>4</v>
      </c>
      <c r="B64" s="68" t="inlineStr">
        <is>
          <t>TXJ-3C03</t>
        </is>
      </c>
      <c r="C64" s="68" t="n">
        <v>1</v>
      </c>
      <c r="D64" s="35" t="n">
        <v>46244</v>
      </c>
      <c r="E64" s="35" t="n">
        <v>46248</v>
      </c>
      <c r="F64" s="68" t="n">
        <v>13573</v>
      </c>
      <c r="G64" s="68" t="n">
        <v>13880</v>
      </c>
      <c r="H64" s="68">
        <f>G75-F75</f>
        <v/>
      </c>
      <c r="I64" s="37" t="inlineStr">
        <is>
          <t>Thayna</t>
        </is>
      </c>
      <c r="J64" s="68" t="n"/>
    </row>
    <row r="65" ht="15" customHeight="1" s="69">
      <c r="A65" s="38" t="n">
        <v>2</v>
      </c>
      <c r="B65" s="68" t="inlineStr">
        <is>
          <t>TYA-2J42</t>
        </is>
      </c>
      <c r="C65" s="68" t="n">
        <v>4</v>
      </c>
      <c r="D65" s="35" t="n">
        <v>46244</v>
      </c>
      <c r="E65" s="35" t="n">
        <v>46248</v>
      </c>
      <c r="F65" s="68" t="n">
        <v>20857</v>
      </c>
      <c r="G65" s="68" t="n">
        <v>21165</v>
      </c>
      <c r="H65" s="68">
        <f>G76-F76</f>
        <v/>
      </c>
      <c r="I65" s="37" t="inlineStr">
        <is>
          <t>Henrique</t>
        </is>
      </c>
      <c r="J65" s="68" t="n"/>
    </row>
    <row r="66" ht="15" customHeight="1" s="69">
      <c r="A66" s="38" t="n">
        <v>3</v>
      </c>
      <c r="B66" s="68" t="inlineStr">
        <is>
          <t>TXV-9E58</t>
        </is>
      </c>
      <c r="C66" s="68" t="n">
        <v>4</v>
      </c>
      <c r="D66" s="35" t="n">
        <v>46244</v>
      </c>
      <c r="E66" s="35" t="n">
        <v>46248</v>
      </c>
      <c r="F66" s="68" t="n">
        <v>21660</v>
      </c>
      <c r="G66" s="68" t="n">
        <v>21935</v>
      </c>
      <c r="H66" s="68">
        <f>G77-F77</f>
        <v/>
      </c>
      <c r="I66" s="37" t="inlineStr">
        <is>
          <t>André</t>
        </is>
      </c>
      <c r="J66" s="68" t="n"/>
    </row>
    <row r="67" ht="15" customHeight="1" s="69">
      <c r="A67" s="38" t="n">
        <v>4</v>
      </c>
      <c r="B67" s="68" t="inlineStr">
        <is>
          <t>TXJ-3C03</t>
        </is>
      </c>
      <c r="C67" s="68" t="n">
        <v>1</v>
      </c>
      <c r="D67" s="35" t="n">
        <v>46251</v>
      </c>
      <c r="E67" s="35" t="n">
        <v>46255</v>
      </c>
      <c r="F67" s="68" t="n">
        <v>13880</v>
      </c>
      <c r="G67" s="68" t="n">
        <v>14207</v>
      </c>
      <c r="H67" s="68">
        <f>G78-F78</f>
        <v/>
      </c>
      <c r="I67" s="37" t="inlineStr">
        <is>
          <t>Thayna</t>
        </is>
      </c>
      <c r="J67" s="68" t="n"/>
    </row>
    <row r="68" ht="15" customHeight="1" s="69">
      <c r="A68" s="38" t="n">
        <v>2</v>
      </c>
      <c r="B68" s="68" t="inlineStr">
        <is>
          <t>TYA-2J42</t>
        </is>
      </c>
      <c r="C68" s="68" t="n">
        <v>4</v>
      </c>
      <c r="D68" s="35" t="n">
        <v>46251</v>
      </c>
      <c r="E68" s="35" t="n">
        <v>46255</v>
      </c>
      <c r="F68" s="68" t="n">
        <v>21165</v>
      </c>
      <c r="G68" s="68" t="n">
        <v>21444</v>
      </c>
      <c r="H68" s="68">
        <f>G79-F79</f>
        <v/>
      </c>
      <c r="I68" s="37" t="inlineStr">
        <is>
          <t>Henrique</t>
        </is>
      </c>
      <c r="J68" s="68" t="n"/>
    </row>
    <row r="69" ht="15" customHeight="1" s="69">
      <c r="A69" s="38" t="n">
        <v>3</v>
      </c>
      <c r="B69" s="68" t="inlineStr">
        <is>
          <t>TXV-9E58</t>
        </is>
      </c>
      <c r="C69" s="68" t="n">
        <v>4</v>
      </c>
      <c r="D69" s="35" t="n">
        <v>46251</v>
      </c>
      <c r="E69" s="35" t="n">
        <v>46255</v>
      </c>
      <c r="F69" s="68" t="n">
        <v>21935</v>
      </c>
      <c r="G69" s="68" t="n">
        <v>22172</v>
      </c>
      <c r="H69" s="68">
        <f>G80-F80</f>
        <v/>
      </c>
      <c r="I69" s="37" t="inlineStr">
        <is>
          <t>André</t>
        </is>
      </c>
      <c r="J69" s="68" t="n"/>
    </row>
    <row r="70" ht="15" customHeight="1" s="69">
      <c r="A70" s="38" t="n">
        <v>4</v>
      </c>
      <c r="B70" s="68" t="inlineStr">
        <is>
          <t>TXJ-3C03</t>
        </is>
      </c>
      <c r="C70" s="68" t="n">
        <v>1</v>
      </c>
      <c r="D70" s="35" t="n">
        <v>46258</v>
      </c>
      <c r="E70" s="35" t="n">
        <v>46262</v>
      </c>
      <c r="F70" s="68" t="n">
        <v>14207</v>
      </c>
      <c r="G70" s="68" t="n">
        <v>14475</v>
      </c>
      <c r="H70" s="68">
        <f>G81-F81</f>
        <v/>
      </c>
      <c r="I70" s="37" t="inlineStr">
        <is>
          <t>Thayna</t>
        </is>
      </c>
      <c r="J70" s="68" t="n"/>
    </row>
    <row r="71" ht="15" customHeight="1" s="69">
      <c r="A71" s="38" t="n">
        <v>2</v>
      </c>
      <c r="B71" s="68" t="inlineStr">
        <is>
          <t>TYA-2J42</t>
        </is>
      </c>
      <c r="C71" s="68" t="n">
        <v>4</v>
      </c>
      <c r="D71" s="35" t="n">
        <v>46258</v>
      </c>
      <c r="E71" s="35" t="n">
        <v>46262</v>
      </c>
      <c r="F71" s="68" t="n">
        <v>21165</v>
      </c>
      <c r="G71" s="68" t="n">
        <v>21380</v>
      </c>
      <c r="H71" s="68">
        <f>G82-F82</f>
        <v/>
      </c>
      <c r="I71" s="37" t="inlineStr">
        <is>
          <t>Henrique</t>
        </is>
      </c>
      <c r="J71" s="68" t="n"/>
    </row>
    <row r="72" ht="15" customHeight="1" s="69">
      <c r="A72" s="38" t="n">
        <v>3</v>
      </c>
      <c r="B72" s="68" t="inlineStr">
        <is>
          <t>TXV-9E58</t>
        </is>
      </c>
      <c r="C72" s="68" t="n">
        <v>4</v>
      </c>
      <c r="D72" s="35" t="n">
        <v>46258</v>
      </c>
      <c r="E72" s="35" t="n">
        <v>46262</v>
      </c>
      <c r="F72" s="68" t="n">
        <v>22172</v>
      </c>
      <c r="G72" s="68" t="n">
        <v>22438</v>
      </c>
      <c r="H72" s="68">
        <f>G83-F83</f>
        <v/>
      </c>
      <c r="I72" s="37" t="inlineStr">
        <is>
          <t>André</t>
        </is>
      </c>
      <c r="J72" s="68" t="n"/>
    </row>
    <row r="73" ht="15" customHeight="1" s="69">
      <c r="A73" s="38" t="n">
        <v>4</v>
      </c>
      <c r="B73" s="68" t="inlineStr">
        <is>
          <t>TXJ-3C03</t>
        </is>
      </c>
      <c r="C73" s="68" t="n">
        <v>1</v>
      </c>
      <c r="D73" s="35" t="n">
        <v>46258</v>
      </c>
      <c r="E73" s="35" t="n">
        <v>46262</v>
      </c>
      <c r="F73" s="68" t="n">
        <v>14475</v>
      </c>
      <c r="G73" s="68" t="n">
        <v>14749</v>
      </c>
      <c r="H73" s="68">
        <f>G84-F84</f>
        <v/>
      </c>
      <c r="I73" s="37" t="inlineStr">
        <is>
          <t>Thayna</t>
        </is>
      </c>
      <c r="J73" s="68" t="n"/>
    </row>
    <row r="74" ht="15" customHeight="1" s="69">
      <c r="A74" s="38" t="n">
        <v>4</v>
      </c>
      <c r="B74" s="68" t="inlineStr">
        <is>
          <t>TXJ-3C03</t>
        </is>
      </c>
      <c r="C74" s="68" t="n">
        <v>1</v>
      </c>
      <c r="D74" s="35" t="n">
        <v>46265</v>
      </c>
      <c r="E74" s="35" t="n">
        <v>46269</v>
      </c>
      <c r="F74" s="68" t="n">
        <v>14749</v>
      </c>
      <c r="G74" s="68" t="n">
        <v>15031</v>
      </c>
      <c r="H74" s="68">
        <f>G85-F85</f>
        <v/>
      </c>
      <c r="I74" s="37" t="inlineStr">
        <is>
          <t>Thayna</t>
        </is>
      </c>
      <c r="J74" s="68" t="inlineStr">
        <is>
          <t>Rateio semanal</t>
        </is>
      </c>
    </row>
    <row r="75" ht="15" customHeight="1" s="69">
      <c r="A75" s="38" t="n">
        <v>2</v>
      </c>
      <c r="B75" s="68" t="inlineStr">
        <is>
          <t>TYA-2J42</t>
        </is>
      </c>
      <c r="C75" s="68" t="n">
        <v>1</v>
      </c>
      <c r="D75" s="35" t="n">
        <v>46265</v>
      </c>
      <c r="E75" s="35" t="n">
        <v>46269</v>
      </c>
      <c r="F75" s="68" t="n">
        <v>21380</v>
      </c>
      <c r="G75" s="68" t="n">
        <v>21678</v>
      </c>
      <c r="H75" s="68">
        <f>G86-F86</f>
        <v/>
      </c>
      <c r="I75" s="37" t="inlineStr">
        <is>
          <t>Henrique</t>
        </is>
      </c>
      <c r="J75" s="68" t="inlineStr">
        <is>
          <t>Rateio semanal</t>
        </is>
      </c>
    </row>
    <row r="76" ht="15" customHeight="1" s="69">
      <c r="A76" s="38" t="n">
        <v>3</v>
      </c>
      <c r="B76" s="68" t="inlineStr">
        <is>
          <t>TXV-9E58</t>
        </is>
      </c>
      <c r="C76" s="68" t="n">
        <v>1</v>
      </c>
      <c r="D76" s="35" t="n">
        <v>46265</v>
      </c>
      <c r="E76" s="35" t="n">
        <v>46269</v>
      </c>
      <c r="F76" s="68" t="n">
        <v>22438</v>
      </c>
      <c r="G76" s="68" t="n">
        <v>22787</v>
      </c>
      <c r="H76" s="68">
        <f>G87-F87</f>
        <v/>
      </c>
      <c r="I76" s="37" t="inlineStr">
        <is>
          <t>André</t>
        </is>
      </c>
      <c r="J76" s="68" t="inlineStr">
        <is>
          <t>Rateio semanal</t>
        </is>
      </c>
    </row>
    <row r="77" ht="15" customHeight="1" s="69">
      <c r="A77" s="38" t="n">
        <v>4</v>
      </c>
      <c r="B77" s="68" t="inlineStr">
        <is>
          <t>TXJ-3C03</t>
        </is>
      </c>
      <c r="C77" s="68" t="n">
        <v>2</v>
      </c>
      <c r="D77" s="35" t="n">
        <v>46272</v>
      </c>
      <c r="E77" s="35" t="n">
        <v>46276</v>
      </c>
      <c r="F77" s="68" t="n">
        <v>15031</v>
      </c>
      <c r="G77" s="68" t="n">
        <v>15313</v>
      </c>
      <c r="H77" s="68">
        <f>G88-F88</f>
        <v/>
      </c>
      <c r="I77" s="37" t="inlineStr">
        <is>
          <t>Thayna</t>
        </is>
      </c>
      <c r="J77" s="68" t="inlineStr">
        <is>
          <t>Rateio semanal</t>
        </is>
      </c>
    </row>
    <row r="78" ht="15" customHeight="1" s="69">
      <c r="A78" s="38" t="n">
        <v>2</v>
      </c>
      <c r="B78" s="68" t="inlineStr">
        <is>
          <t>TYA-2J42</t>
        </is>
      </c>
      <c r="C78" s="68" t="n">
        <v>2</v>
      </c>
      <c r="D78" s="35" t="n">
        <v>46272</v>
      </c>
      <c r="E78" s="35" t="n">
        <v>46276</v>
      </c>
      <c r="F78" s="68" t="n">
        <v>21678</v>
      </c>
      <c r="G78" s="68" t="n">
        <v>21976</v>
      </c>
      <c r="H78" s="68">
        <f>G89-F89</f>
        <v/>
      </c>
      <c r="I78" s="37" t="inlineStr">
        <is>
          <t>Henrique</t>
        </is>
      </c>
      <c r="J78" s="68" t="inlineStr">
        <is>
          <t>Rateio semanal</t>
        </is>
      </c>
    </row>
    <row r="79" ht="15" customHeight="1" s="69">
      <c r="A79" s="38" t="n">
        <v>3</v>
      </c>
      <c r="B79" s="68" t="inlineStr">
        <is>
          <t>TXV-9E58</t>
        </is>
      </c>
      <c r="C79" s="68" t="n">
        <v>2</v>
      </c>
      <c r="D79" s="35" t="n">
        <v>46272</v>
      </c>
      <c r="E79" s="35" t="n">
        <v>46276</v>
      </c>
      <c r="F79" s="68" t="n">
        <v>22787</v>
      </c>
      <c r="G79" s="68" t="n">
        <v>23136</v>
      </c>
      <c r="H79" s="68">
        <f>G90-F90</f>
        <v/>
      </c>
      <c r="I79" s="37" t="inlineStr">
        <is>
          <t>André</t>
        </is>
      </c>
      <c r="J79" s="68" t="inlineStr">
        <is>
          <t>Rateio semanal</t>
        </is>
      </c>
    </row>
    <row r="80" ht="15" customHeight="1" s="69">
      <c r="A80" s="38" t="n">
        <v>4</v>
      </c>
      <c r="B80" s="68" t="inlineStr">
        <is>
          <t>TXJ-3C03</t>
        </is>
      </c>
      <c r="C80" s="68" t="n">
        <v>3</v>
      </c>
      <c r="D80" s="35" t="n">
        <v>46279</v>
      </c>
      <c r="E80" s="35" t="n">
        <v>46283</v>
      </c>
      <c r="F80" s="68" t="n">
        <v>15313</v>
      </c>
      <c r="G80" s="68" t="n">
        <v>15595</v>
      </c>
      <c r="H80" s="68">
        <f>G91-F91</f>
        <v/>
      </c>
      <c r="I80" s="37" t="inlineStr">
        <is>
          <t>Thayna</t>
        </is>
      </c>
      <c r="J80" s="68" t="inlineStr">
        <is>
          <t>Rateio semanal</t>
        </is>
      </c>
    </row>
    <row r="81" ht="15" customHeight="1" s="69">
      <c r="A81" s="38" t="n">
        <v>2</v>
      </c>
      <c r="B81" s="68" t="inlineStr">
        <is>
          <t>TYA-2J42</t>
        </is>
      </c>
      <c r="C81" s="68" t="n">
        <v>3</v>
      </c>
      <c r="D81" s="35" t="n">
        <v>46279</v>
      </c>
      <c r="E81" s="35" t="n">
        <v>46283</v>
      </c>
      <c r="F81" s="68" t="n">
        <v>21976</v>
      </c>
      <c r="G81" s="68" t="n">
        <v>22274</v>
      </c>
      <c r="H81" s="68">
        <f>G92-F92</f>
        <v/>
      </c>
      <c r="I81" s="37" t="inlineStr">
        <is>
          <t>Henrique</t>
        </is>
      </c>
      <c r="J81" s="68" t="inlineStr">
        <is>
          <t>Rateio semanal</t>
        </is>
      </c>
    </row>
    <row r="82" ht="15" customHeight="1" s="69">
      <c r="A82" s="38" t="n">
        <v>3</v>
      </c>
      <c r="B82" s="68" t="inlineStr">
        <is>
          <t>TXV-9E58</t>
        </is>
      </c>
      <c r="C82" s="68" t="n">
        <v>3</v>
      </c>
      <c r="D82" s="35" t="n">
        <v>46279</v>
      </c>
      <c r="E82" s="35" t="n">
        <v>46283</v>
      </c>
      <c r="F82" s="68" t="n">
        <v>23136</v>
      </c>
      <c r="G82" s="68" t="n">
        <v>23485</v>
      </c>
      <c r="H82" s="68">
        <f>G93-F93</f>
        <v/>
      </c>
      <c r="I82" s="37" t="inlineStr">
        <is>
          <t>André</t>
        </is>
      </c>
      <c r="J82" s="68" t="inlineStr">
        <is>
          <t>Rateio semanal</t>
        </is>
      </c>
    </row>
    <row r="83" ht="15" customHeight="1" s="69">
      <c r="A83" s="38" t="n">
        <v>4</v>
      </c>
      <c r="B83" s="68" t="inlineStr">
        <is>
          <t>TXJ-3C03</t>
        </is>
      </c>
      <c r="C83" s="68" t="n">
        <v>4</v>
      </c>
      <c r="D83" s="35" t="n">
        <v>46286</v>
      </c>
      <c r="E83" s="35" t="n">
        <v>46290</v>
      </c>
      <c r="F83" s="68" t="n">
        <v>15595</v>
      </c>
      <c r="G83" s="68" t="n">
        <v>15877</v>
      </c>
      <c r="H83" s="68">
        <f>G94-F94</f>
        <v/>
      </c>
      <c r="I83" s="37" t="inlineStr">
        <is>
          <t>Thayna</t>
        </is>
      </c>
      <c r="J83" s="68" t="inlineStr">
        <is>
          <t>Rateio semanal</t>
        </is>
      </c>
    </row>
    <row r="84" ht="15" customHeight="1" s="69">
      <c r="A84" s="38" t="n">
        <v>2</v>
      </c>
      <c r="B84" s="68" t="inlineStr">
        <is>
          <t>TYA-2J42</t>
        </is>
      </c>
      <c r="C84" s="68" t="n">
        <v>4</v>
      </c>
      <c r="D84" s="35" t="n">
        <v>46286</v>
      </c>
      <c r="E84" s="35" t="n">
        <v>46290</v>
      </c>
      <c r="F84" s="68" t="n">
        <v>22274</v>
      </c>
      <c r="G84" s="68" t="n">
        <v>22572</v>
      </c>
      <c r="H84" s="68">
        <f>G95-F95</f>
        <v/>
      </c>
      <c r="I84" s="37" t="inlineStr">
        <is>
          <t>Henrique</t>
        </is>
      </c>
      <c r="J84" s="68" t="inlineStr">
        <is>
          <t>Rateio semanal</t>
        </is>
      </c>
    </row>
    <row r="85" ht="15" customHeight="1" s="69">
      <c r="A85" s="38" t="n">
        <v>3</v>
      </c>
      <c r="B85" s="68" t="inlineStr">
        <is>
          <t>TXV-9E58</t>
        </is>
      </c>
      <c r="C85" s="68" t="n">
        <v>4</v>
      </c>
      <c r="D85" s="35" t="n">
        <v>46286</v>
      </c>
      <c r="E85" s="35" t="n">
        <v>46290</v>
      </c>
      <c r="F85" s="68" t="n">
        <v>23485</v>
      </c>
      <c r="G85" s="68" t="n">
        <v>23834</v>
      </c>
      <c r="H85" s="68">
        <f>G96-F96</f>
        <v/>
      </c>
      <c r="I85" s="37" t="inlineStr">
        <is>
          <t>André</t>
        </is>
      </c>
      <c r="J85" s="68" t="inlineStr">
        <is>
          <t>Rateio semanal</t>
        </is>
      </c>
    </row>
    <row r="86" ht="15" customHeight="1" s="69">
      <c r="A86" s="38" t="n">
        <v>4</v>
      </c>
      <c r="B86" s="68" t="inlineStr">
        <is>
          <t>TXJ-3C03</t>
        </is>
      </c>
      <c r="C86" s="68" t="n">
        <v>5</v>
      </c>
      <c r="D86" s="35" t="n">
        <v>46293</v>
      </c>
      <c r="E86" s="35" t="n">
        <v>46297</v>
      </c>
      <c r="F86" s="68" t="n">
        <v>15877</v>
      </c>
      <c r="G86" s="68" t="n">
        <v>16159</v>
      </c>
      <c r="H86" s="68">
        <f>G97-F97</f>
        <v/>
      </c>
      <c r="I86" s="37" t="inlineStr">
        <is>
          <t>Thayna</t>
        </is>
      </c>
      <c r="J86" s="68" t="inlineStr">
        <is>
          <t>Rateio semanal</t>
        </is>
      </c>
    </row>
    <row r="87" ht="15" customHeight="1" s="69">
      <c r="A87" s="38" t="n">
        <v>2</v>
      </c>
      <c r="B87" s="68" t="inlineStr">
        <is>
          <t>TYA-2J42</t>
        </is>
      </c>
      <c r="C87" s="68" t="n">
        <v>5</v>
      </c>
      <c r="D87" s="35" t="n">
        <v>46293</v>
      </c>
      <c r="E87" s="35" t="n">
        <v>46297</v>
      </c>
      <c r="F87" s="68" t="n">
        <v>22572</v>
      </c>
      <c r="G87" s="68" t="n">
        <v>22870</v>
      </c>
      <c r="H87" s="68">
        <f>G98-F98</f>
        <v/>
      </c>
      <c r="I87" s="37" t="inlineStr">
        <is>
          <t>Henrique</t>
        </is>
      </c>
      <c r="J87" s="68" t="inlineStr">
        <is>
          <t>Rateio semanal</t>
        </is>
      </c>
    </row>
    <row r="88" ht="15" customHeight="1" s="69">
      <c r="A88" s="38" t="n">
        <v>3</v>
      </c>
      <c r="B88" s="68" t="inlineStr">
        <is>
          <t>TXV-9E58</t>
        </is>
      </c>
      <c r="C88" s="68" t="n">
        <v>5</v>
      </c>
      <c r="D88" s="35" t="n">
        <v>46293</v>
      </c>
      <c r="E88" s="35" t="n">
        <v>46297</v>
      </c>
      <c r="F88" s="68" t="n">
        <v>23834</v>
      </c>
      <c r="G88" s="68" t="n">
        <v>24183</v>
      </c>
      <c r="H88" s="68">
        <f>G99-F99</f>
        <v/>
      </c>
      <c r="I88" s="37" t="inlineStr">
        <is>
          <t>André</t>
        </is>
      </c>
      <c r="J88" s="68" t="inlineStr">
        <is>
          <t>Rateio semanal</t>
        </is>
      </c>
    </row>
    <row r="89" ht="15" customHeight="1" s="69">
      <c r="A89" s="38" t="n">
        <v>4</v>
      </c>
      <c r="B89" s="68" t="inlineStr">
        <is>
          <t>TXJ-3C03</t>
        </is>
      </c>
      <c r="C89" s="68" t="n">
        <v>1</v>
      </c>
      <c r="D89" s="35" t="n">
        <v>46300</v>
      </c>
      <c r="E89" s="35" t="n">
        <v>46304</v>
      </c>
      <c r="F89" s="68" t="n">
        <v>16159</v>
      </c>
      <c r="G89" s="68" t="n">
        <v>16441</v>
      </c>
      <c r="H89" s="68">
        <f>G100-F100</f>
        <v/>
      </c>
      <c r="I89" s="37" t="inlineStr">
        <is>
          <t>Thayna</t>
        </is>
      </c>
      <c r="J89" s="68" t="inlineStr">
        <is>
          <t>Rateio semanal</t>
        </is>
      </c>
    </row>
    <row r="90" ht="15" customHeight="1" s="69">
      <c r="A90" s="38" t="n">
        <v>2</v>
      </c>
      <c r="B90" s="68" t="inlineStr">
        <is>
          <t>TYA-2J42</t>
        </is>
      </c>
      <c r="C90" s="68" t="n">
        <v>1</v>
      </c>
      <c r="D90" s="35" t="n">
        <v>46300</v>
      </c>
      <c r="E90" s="35" t="n">
        <v>46304</v>
      </c>
      <c r="F90" s="68" t="n">
        <v>22870</v>
      </c>
      <c r="G90" s="68" t="n">
        <v>23168</v>
      </c>
      <c r="H90" s="68">
        <f>G101-F101</f>
        <v/>
      </c>
      <c r="I90" s="37" t="inlineStr">
        <is>
          <t>Henrique</t>
        </is>
      </c>
      <c r="J90" s="68" t="inlineStr">
        <is>
          <t>Rateio semanal</t>
        </is>
      </c>
    </row>
    <row r="91" ht="15" customHeight="1" s="69">
      <c r="A91" s="38" t="n">
        <v>3</v>
      </c>
      <c r="B91" s="68" t="inlineStr">
        <is>
          <t>TXV-9E58</t>
        </is>
      </c>
      <c r="C91" s="68" t="n">
        <v>1</v>
      </c>
      <c r="D91" s="35" t="n">
        <v>46300</v>
      </c>
      <c r="E91" s="35" t="n">
        <v>46304</v>
      </c>
      <c r="F91" s="68" t="n">
        <v>24183</v>
      </c>
      <c r="G91" s="68" t="n">
        <v>24532</v>
      </c>
      <c r="H91" s="68">
        <f>G102-F102</f>
        <v/>
      </c>
      <c r="I91" s="37" t="inlineStr">
        <is>
          <t>André</t>
        </is>
      </c>
      <c r="J91" s="68" t="inlineStr">
        <is>
          <t>Rateio semanal</t>
        </is>
      </c>
    </row>
    <row r="92" ht="15" customHeight="1" s="69">
      <c r="A92" s="38" t="n">
        <v>4</v>
      </c>
      <c r="B92" s="68" t="inlineStr">
        <is>
          <t>TXJ-3C03</t>
        </is>
      </c>
      <c r="C92" s="68" t="n">
        <v>2</v>
      </c>
      <c r="D92" s="35" t="n">
        <v>46307</v>
      </c>
      <c r="E92" s="35" t="n">
        <v>46311</v>
      </c>
      <c r="F92" s="68" t="n">
        <v>16441</v>
      </c>
      <c r="G92" s="68" t="n">
        <v>16723</v>
      </c>
      <c r="H92" s="68">
        <f>G103-F103</f>
        <v/>
      </c>
      <c r="I92" s="37" t="inlineStr">
        <is>
          <t>Thayna</t>
        </is>
      </c>
      <c r="J92" s="68" t="inlineStr">
        <is>
          <t>Rateio semanal</t>
        </is>
      </c>
    </row>
    <row r="93" ht="15" customHeight="1" s="69">
      <c r="A93" s="38" t="n">
        <v>2</v>
      </c>
      <c r="B93" s="68" t="inlineStr">
        <is>
          <t>TYA-2J42</t>
        </is>
      </c>
      <c r="C93" s="68" t="n">
        <v>2</v>
      </c>
      <c r="D93" s="35" t="n">
        <v>46307</v>
      </c>
      <c r="E93" s="35" t="n">
        <v>46311</v>
      </c>
      <c r="F93" s="68" t="n">
        <v>23168</v>
      </c>
      <c r="G93" s="68" t="n">
        <v>23466</v>
      </c>
      <c r="H93" s="68">
        <f>G104-F104</f>
        <v/>
      </c>
      <c r="I93" s="37" t="inlineStr">
        <is>
          <t>Henrique</t>
        </is>
      </c>
      <c r="J93" s="68" t="inlineStr">
        <is>
          <t>Rateio semanal</t>
        </is>
      </c>
    </row>
    <row r="94" ht="15" customHeight="1" s="69">
      <c r="A94" s="38" t="n">
        <v>3</v>
      </c>
      <c r="B94" s="68" t="inlineStr">
        <is>
          <t>TXV-9E58</t>
        </is>
      </c>
      <c r="C94" s="68" t="n">
        <v>2</v>
      </c>
      <c r="D94" s="35" t="n">
        <v>46307</v>
      </c>
      <c r="E94" s="35" t="n">
        <v>46311</v>
      </c>
      <c r="F94" s="68" t="n">
        <v>24532</v>
      </c>
      <c r="G94" s="68" t="n">
        <v>24881</v>
      </c>
      <c r="H94" s="68">
        <f>G105-F105</f>
        <v/>
      </c>
      <c r="I94" s="37" t="inlineStr">
        <is>
          <t>André</t>
        </is>
      </c>
      <c r="J94" s="68" t="inlineStr">
        <is>
          <t>Rateio semanal</t>
        </is>
      </c>
    </row>
    <row r="95" ht="15" customHeight="1" s="69">
      <c r="A95" s="38" t="n">
        <v>4</v>
      </c>
      <c r="B95" s="68" t="inlineStr">
        <is>
          <t>TXJ-3C03</t>
        </is>
      </c>
      <c r="C95" s="68" t="n">
        <v>3</v>
      </c>
      <c r="D95" s="35" t="n">
        <v>46314</v>
      </c>
      <c r="E95" s="35" t="n">
        <v>46314</v>
      </c>
      <c r="F95" s="68" t="n">
        <v>16720</v>
      </c>
      <c r="G95" s="68" t="n">
        <v>16867</v>
      </c>
      <c r="H95" s="68">
        <f>G106-F106</f>
        <v/>
      </c>
      <c r="I95" s="37" t="inlineStr">
        <is>
          <t>Antônio Henrique</t>
        </is>
      </c>
      <c r="J95" s="68" t="inlineStr">
        <is>
          <t>Fecho a 19/10</t>
        </is>
      </c>
    </row>
    <row r="96" ht="15" customHeight="1" s="69">
      <c r="A96" s="38" t="n">
        <v>2</v>
      </c>
      <c r="B96" s="68" t="inlineStr">
        <is>
          <t>TYA-2J42</t>
        </is>
      </c>
      <c r="C96" s="68" t="n">
        <v>3</v>
      </c>
      <c r="D96" s="35" t="n">
        <v>46314</v>
      </c>
      <c r="E96" s="35" t="n">
        <v>46314</v>
      </c>
      <c r="F96" s="68" t="n">
        <v>23466</v>
      </c>
      <c r="G96" s="68" t="n">
        <v>23614</v>
      </c>
      <c r="H96" s="68">
        <f>G107-F107</f>
        <v/>
      </c>
      <c r="I96" s="37" t="inlineStr">
        <is>
          <t>Henrique</t>
        </is>
      </c>
      <c r="J96" s="68" t="inlineStr">
        <is>
          <t>Fecho a 19/10</t>
        </is>
      </c>
    </row>
    <row r="97" ht="15" customHeight="1" s="69">
      <c r="A97" s="38" t="n">
        <v>3</v>
      </c>
      <c r="B97" s="68" t="inlineStr">
        <is>
          <t>TXV-9E58</t>
        </is>
      </c>
      <c r="C97" s="68" t="n">
        <v>3</v>
      </c>
      <c r="D97" s="35" t="n">
        <v>46314</v>
      </c>
      <c r="E97" s="35" t="n">
        <v>46314</v>
      </c>
      <c r="F97" s="68" t="n">
        <v>24881</v>
      </c>
      <c r="G97" s="68" t="n">
        <v>24987</v>
      </c>
      <c r="H97" s="68">
        <f>G108-F108</f>
        <v/>
      </c>
      <c r="I97" s="37" t="inlineStr">
        <is>
          <t>André</t>
        </is>
      </c>
      <c r="J97" s="68" t="inlineStr">
        <is>
          <t>Fecho a 19/10</t>
        </is>
      </c>
    </row>
    <row r="98" ht="15" customHeight="1" s="69"/>
    <row r="99" ht="15" customHeight="1" s="69"/>
    <row r="100" ht="15" customHeight="1" s="69"/>
    <row r="101" ht="15" customHeight="1" s="69"/>
  </sheetData>
  <autoFilter ref="A3:J30">
    <sortState ref="A4:J26">
      <sortCondition ref="D3:D26"/>
    </sortState>
  </autoFilter>
  <mergeCells count="1">
    <mergeCell ref="A1:J1"/>
  </mergeCells>
  <pageMargins left="0.7" right="0.7" top="0.75" bottom="0.75" header="0.3" footer="0.3"/>
  <pageSetup orientation="portrait"/>
  <headerFooter>
    <oddHeader>&amp;L&amp;C&amp;R</oddHeader>
    <oddFooter>&amp;L&amp;"Aptos"&amp;10 &amp;K000000_x000d_# Uso interno — Spassu Tecnologia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K90"/>
  <sheetViews>
    <sheetView showGridLines="0" workbookViewId="0">
      <pane ySplit="3" topLeftCell="A25" activePane="bottomLeft" state="frozen"/>
      <selection pane="bottomLeft" activeCell="A37" sqref="A37"/>
    </sheetView>
  </sheetViews>
  <sheetFormatPr baseColWidth="8" defaultColWidth="8.85546875" defaultRowHeight="15" customHeight="1"/>
  <cols>
    <col width="3.7109375" customWidth="1" style="69" min="1" max="1"/>
    <col width="10.85546875" customWidth="1" style="69" min="2" max="2"/>
    <col width="13.28515625" customWidth="1" style="69" min="3" max="3"/>
    <col width="13.140625" customWidth="1" style="69" min="4" max="4"/>
    <col width="10.85546875" customWidth="1" style="69" min="5" max="5"/>
    <col width="16" customWidth="1" style="69" min="6" max="6"/>
    <col width="14" customWidth="1" style="69" min="7" max="7"/>
    <col width="15.28515625" customWidth="1" style="69" min="8" max="8"/>
    <col width="19.7109375" customWidth="1" style="69" min="9" max="9"/>
    <col width="19.42578125" customWidth="1" style="69" min="10" max="10"/>
    <col width="19" customWidth="1" style="69" min="11" max="11"/>
  </cols>
  <sheetData>
    <row r="1" ht="22.5" customHeight="1" s="69">
      <c r="A1" s="61" t="inlineStr">
        <is>
          <t>CONTROLE DE ABASTECIMENTO</t>
        </is>
      </c>
    </row>
    <row r="3" ht="15" customHeight="1" s="69">
      <c r="A3" s="65" t="inlineStr">
        <is>
          <t>ID</t>
        </is>
      </c>
      <c r="B3" s="65" t="inlineStr">
        <is>
          <t>Placa</t>
        </is>
      </c>
      <c r="C3" s="65" t="inlineStr">
        <is>
          <t>Data</t>
        </is>
      </c>
      <c r="D3" s="65" t="inlineStr">
        <is>
          <t>KM Atual</t>
        </is>
      </c>
      <c r="E3" s="65" t="inlineStr">
        <is>
          <t>Litros</t>
        </is>
      </c>
      <c r="F3" s="65" t="inlineStr">
        <is>
          <t>Valor/Litro</t>
        </is>
      </c>
      <c r="G3" s="65" t="inlineStr">
        <is>
          <t>Valor Total</t>
        </is>
      </c>
      <c r="H3" s="65" t="inlineStr">
        <is>
          <t>Combustível</t>
        </is>
      </c>
      <c r="I3" s="65" t="inlineStr">
        <is>
          <t>Posto</t>
        </is>
      </c>
      <c r="J3" s="65" t="inlineStr">
        <is>
          <t>Motorista</t>
        </is>
      </c>
      <c r="K3" s="65" t="inlineStr">
        <is>
          <t>Observações</t>
        </is>
      </c>
    </row>
    <row r="4" hidden="1" ht="15" customHeight="1" s="69">
      <c r="A4" s="67" t="n">
        <v>2</v>
      </c>
      <c r="B4" s="67" t="inlineStr">
        <is>
          <t>TYA-2J42</t>
        </is>
      </c>
      <c r="C4" s="43" t="n">
        <v>46101</v>
      </c>
      <c r="D4" s="67" t="n">
        <v>15675</v>
      </c>
      <c r="E4" s="41" t="n">
        <v>26.92</v>
      </c>
      <c r="F4" s="71">
        <f>G6/E6</f>
        <v/>
      </c>
      <c r="G4" s="71" t="n">
        <v>128.93</v>
      </c>
      <c r="H4" s="41" t="inlineStr">
        <is>
          <t xml:space="preserve">Etanol </t>
        </is>
      </c>
      <c r="I4" s="23" t="inlineStr">
        <is>
          <t xml:space="preserve">Posto Modelo </t>
        </is>
      </c>
      <c r="J4" s="41" t="inlineStr">
        <is>
          <t>Henrique</t>
        </is>
      </c>
      <c r="K4" s="41" t="inlineStr">
        <is>
          <t>N/D</t>
        </is>
      </c>
    </row>
    <row r="5" hidden="1" ht="15" customHeight="1" s="69">
      <c r="A5" s="68" t="n">
        <v>4</v>
      </c>
      <c r="B5" s="68" t="inlineStr">
        <is>
          <t>TXJ-3C03</t>
        </is>
      </c>
      <c r="C5" s="35" t="n">
        <v>46104</v>
      </c>
      <c r="D5" s="68" t="n">
        <v>7953</v>
      </c>
      <c r="E5" s="37" t="n">
        <v>27.87</v>
      </c>
      <c r="F5" s="73">
        <f>G7/E7</f>
        <v/>
      </c>
      <c r="G5" s="73" t="n">
        <v>114.65</v>
      </c>
      <c r="H5" s="37" t="inlineStr">
        <is>
          <t xml:space="preserve">Etanol </t>
        </is>
      </c>
      <c r="I5" s="22" t="inlineStr">
        <is>
          <t xml:space="preserve">Cris. Colombo </t>
        </is>
      </c>
      <c r="J5" s="37" t="inlineStr">
        <is>
          <t>Thayna</t>
        </is>
      </c>
      <c r="K5" s="37" t="inlineStr">
        <is>
          <t>N/D</t>
        </is>
      </c>
    </row>
    <row r="6" hidden="1" ht="15" customHeight="1" s="69">
      <c r="A6" s="68" t="n">
        <v>2</v>
      </c>
      <c r="B6" s="68" t="inlineStr">
        <is>
          <t>TYA-2J42</t>
        </is>
      </c>
      <c r="C6" s="35" t="n">
        <v>46112</v>
      </c>
      <c r="D6" s="68" t="n">
        <v>15731</v>
      </c>
      <c r="E6" s="37" t="n">
        <v>5.45</v>
      </c>
      <c r="F6" s="72">
        <f>G8/E8</f>
        <v/>
      </c>
      <c r="G6" s="73" t="n">
        <v>26</v>
      </c>
      <c r="H6" s="37" t="inlineStr">
        <is>
          <t xml:space="preserve">Etanol </t>
        </is>
      </c>
      <c r="I6" s="22" t="inlineStr">
        <is>
          <t xml:space="preserve">Carrefour </t>
        </is>
      </c>
      <c r="J6" s="37" t="inlineStr">
        <is>
          <t>Henrique</t>
        </is>
      </c>
      <c r="K6" s="37" t="inlineStr">
        <is>
          <t>N/D</t>
        </is>
      </c>
    </row>
    <row r="7" hidden="1" ht="15" customHeight="1" s="69">
      <c r="A7" s="67" t="n">
        <v>4</v>
      </c>
      <c r="B7" s="67" t="inlineStr">
        <is>
          <t>TXJ-3C03</t>
        </is>
      </c>
      <c r="C7" s="43" t="n">
        <v>46113</v>
      </c>
      <c r="D7" s="67" t="n">
        <v>8200</v>
      </c>
      <c r="E7" s="41" t="n">
        <v>38</v>
      </c>
      <c r="F7" s="71">
        <f>G9/E9</f>
        <v/>
      </c>
      <c r="G7" s="71" t="n">
        <v>197.22</v>
      </c>
      <c r="H7" s="23" t="inlineStr">
        <is>
          <t xml:space="preserve">Etanol </t>
        </is>
      </c>
      <c r="I7" s="23" t="inlineStr">
        <is>
          <t xml:space="preserve">Cris. Colombo </t>
        </is>
      </c>
      <c r="J7" s="41" t="inlineStr">
        <is>
          <t>Thayna</t>
        </is>
      </c>
      <c r="K7" s="41" t="inlineStr">
        <is>
          <t>N/D</t>
        </is>
      </c>
    </row>
    <row r="8" hidden="1" ht="15" customHeight="1" s="69">
      <c r="A8" s="67" t="n">
        <v>2</v>
      </c>
      <c r="B8" s="67" t="inlineStr">
        <is>
          <t>TYA-2J42</t>
        </is>
      </c>
      <c r="C8" s="43" t="n">
        <v>46113</v>
      </c>
      <c r="D8" s="67" t="n">
        <v>16201</v>
      </c>
      <c r="E8" s="41" t="n">
        <v>38</v>
      </c>
      <c r="F8" s="71">
        <f>G10/E10</f>
        <v/>
      </c>
      <c r="G8" s="71" t="n">
        <v>181.26</v>
      </c>
      <c r="H8" s="41" t="inlineStr">
        <is>
          <t xml:space="preserve">Etanol </t>
        </is>
      </c>
      <c r="I8" s="23" t="inlineStr">
        <is>
          <t xml:space="preserve">Carrefour </t>
        </is>
      </c>
      <c r="J8" s="41" t="inlineStr">
        <is>
          <t>Henrique</t>
        </is>
      </c>
      <c r="K8" s="41" t="inlineStr">
        <is>
          <t>N/D</t>
        </is>
      </c>
    </row>
    <row r="9" hidden="1" ht="15" customHeight="1" s="69">
      <c r="A9" s="67" t="n">
        <v>3</v>
      </c>
      <c r="B9" s="67" t="inlineStr">
        <is>
          <t>TXV-9E58</t>
        </is>
      </c>
      <c r="C9" s="43" t="n">
        <v>46118</v>
      </c>
      <c r="D9" s="67" t="n">
        <v>16976</v>
      </c>
      <c r="E9" s="41" t="n">
        <v>38</v>
      </c>
      <c r="F9" s="71">
        <f>G12/E12</f>
        <v/>
      </c>
      <c r="G9" s="71" t="n">
        <v>197.22</v>
      </c>
      <c r="H9" s="41" t="inlineStr">
        <is>
          <t xml:space="preserve">Etanol </t>
        </is>
      </c>
      <c r="I9" s="23" t="inlineStr">
        <is>
          <t xml:space="preserve">Cris. Colombo </t>
        </is>
      </c>
      <c r="J9" s="41" t="inlineStr">
        <is>
          <t>André</t>
        </is>
      </c>
      <c r="K9" s="41" t="inlineStr">
        <is>
          <t>N/D</t>
        </is>
      </c>
    </row>
    <row r="10" hidden="1" ht="15" customHeight="1" s="69">
      <c r="A10" s="68" t="n">
        <v>2</v>
      </c>
      <c r="B10" s="68" t="inlineStr">
        <is>
          <t>TYA-2J42</t>
        </is>
      </c>
      <c r="C10" s="35" t="n">
        <v>46119</v>
      </c>
      <c r="D10" s="68" t="n">
        <v>16467</v>
      </c>
      <c r="E10" s="37" t="n">
        <v>38</v>
      </c>
      <c r="F10" s="72">
        <f>G13/E13</f>
        <v/>
      </c>
      <c r="G10" s="73" t="n">
        <v>180</v>
      </c>
      <c r="H10" s="37" t="inlineStr">
        <is>
          <t xml:space="preserve">Etanol </t>
        </is>
      </c>
      <c r="I10" s="22" t="inlineStr">
        <is>
          <t xml:space="preserve">Carrefour </t>
        </is>
      </c>
      <c r="J10" s="37" t="inlineStr">
        <is>
          <t>Henrique</t>
        </is>
      </c>
      <c r="K10" s="37" t="inlineStr">
        <is>
          <t>N/D</t>
        </is>
      </c>
    </row>
    <row r="11" hidden="1" ht="15" customHeight="1" s="69">
      <c r="A11" s="68" t="n">
        <v>3</v>
      </c>
      <c r="B11" s="68" t="inlineStr">
        <is>
          <t>TXV-9E58</t>
        </is>
      </c>
      <c r="C11" s="35" t="n">
        <v>46121</v>
      </c>
      <c r="D11" s="68" t="n">
        <v>17484</v>
      </c>
      <c r="E11" s="37" t="n">
        <v>29.87</v>
      </c>
      <c r="F11" s="72">
        <f>G15/E15</f>
        <v/>
      </c>
      <c r="G11" s="73" t="n">
        <v>149.05</v>
      </c>
      <c r="H11" s="37" t="inlineStr">
        <is>
          <t xml:space="preserve">Etanol </t>
        </is>
      </c>
      <c r="I11" s="22" t="inlineStr">
        <is>
          <t xml:space="preserve">Ouro Negro </t>
        </is>
      </c>
      <c r="J11" s="37" t="inlineStr">
        <is>
          <t>André</t>
        </is>
      </c>
      <c r="K11" s="37" t="inlineStr">
        <is>
          <t>N/D</t>
        </is>
      </c>
    </row>
    <row r="12" hidden="1" ht="15" customHeight="1" s="69">
      <c r="A12" s="68" t="n">
        <v>4</v>
      </c>
      <c r="B12" s="68" t="inlineStr">
        <is>
          <t>TXJ-3C03</t>
        </is>
      </c>
      <c r="C12" s="35" t="n">
        <v>46126</v>
      </c>
      <c r="D12" s="68" t="n">
        <v>8442</v>
      </c>
      <c r="E12" s="37" t="n">
        <v>36.37</v>
      </c>
      <c r="F12" s="73">
        <f>G16/E16</f>
        <v/>
      </c>
      <c r="G12" s="73" t="n">
        <v>188.73</v>
      </c>
      <c r="H12" s="37" t="inlineStr">
        <is>
          <t xml:space="preserve">Etanol </t>
        </is>
      </c>
      <c r="I12" s="22" t="inlineStr">
        <is>
          <t xml:space="preserve">Cris. Colombo </t>
        </is>
      </c>
      <c r="J12" s="37" t="inlineStr">
        <is>
          <t>Thayna</t>
        </is>
      </c>
      <c r="K12" s="37" t="inlineStr">
        <is>
          <t>N/D</t>
        </is>
      </c>
    </row>
    <row r="13" hidden="1" ht="15" customHeight="1" s="69">
      <c r="A13" s="67" t="n">
        <v>3</v>
      </c>
      <c r="B13" s="67" t="inlineStr">
        <is>
          <t>TXV-9E58</t>
        </is>
      </c>
      <c r="C13" s="43" t="n">
        <v>46126</v>
      </c>
      <c r="D13" s="67" t="n">
        <v>17726</v>
      </c>
      <c r="E13" s="41" t="n">
        <v>38</v>
      </c>
      <c r="F13" s="71">
        <f>G17/E17</f>
        <v/>
      </c>
      <c r="G13" s="71" t="n">
        <v>197.22</v>
      </c>
      <c r="H13" s="41" t="inlineStr">
        <is>
          <t xml:space="preserve">Etanol </t>
        </is>
      </c>
      <c r="I13" s="23" t="inlineStr">
        <is>
          <t xml:space="preserve">Cris. Colombo </t>
        </is>
      </c>
      <c r="J13" s="41" t="inlineStr">
        <is>
          <t>André</t>
        </is>
      </c>
      <c r="K13" s="41" t="inlineStr">
        <is>
          <t>N/D</t>
        </is>
      </c>
    </row>
    <row r="14" hidden="1" ht="15" customHeight="1" s="69">
      <c r="A14" s="67" t="n">
        <v>2</v>
      </c>
      <c r="B14" s="67" t="inlineStr">
        <is>
          <t>TYA-2J42</t>
        </is>
      </c>
      <c r="C14" s="43" t="n">
        <v>46127</v>
      </c>
      <c r="D14" s="67" t="n">
        <v>16736</v>
      </c>
      <c r="E14" s="41" t="n">
        <v>23.47</v>
      </c>
      <c r="F14" s="71">
        <f>G18/E18</f>
        <v/>
      </c>
      <c r="G14" s="71" t="n">
        <v>150</v>
      </c>
      <c r="H14" s="41" t="inlineStr">
        <is>
          <t>Gasolina</t>
        </is>
      </c>
      <c r="I14" s="23" t="inlineStr">
        <is>
          <t xml:space="preserve">Carrefour </t>
        </is>
      </c>
      <c r="J14" s="41" t="inlineStr">
        <is>
          <t>Henrique</t>
        </is>
      </c>
      <c r="K14" s="41" t="inlineStr">
        <is>
          <t>N/D</t>
        </is>
      </c>
    </row>
    <row r="15" hidden="1" ht="15" customHeight="1" s="69">
      <c r="A15" s="67" t="n">
        <v>4</v>
      </c>
      <c r="B15" s="67" t="inlineStr">
        <is>
          <t>TXJ-3C03</t>
        </is>
      </c>
      <c r="C15" s="43" t="n">
        <v>46134</v>
      </c>
      <c r="D15" s="67" t="n">
        <v>8694</v>
      </c>
      <c r="E15" s="41" t="n">
        <v>37</v>
      </c>
      <c r="F15" s="71">
        <f>G20/E20</f>
        <v/>
      </c>
      <c r="G15" s="71" t="n">
        <v>192.03</v>
      </c>
      <c r="H15" s="41" t="inlineStr">
        <is>
          <t xml:space="preserve">Etanol </t>
        </is>
      </c>
      <c r="I15" s="23" t="inlineStr">
        <is>
          <t xml:space="preserve">Cris. Colombo </t>
        </is>
      </c>
      <c r="J15" s="41" t="inlineStr">
        <is>
          <t>Thayna</t>
        </is>
      </c>
      <c r="K15" s="41" t="inlineStr">
        <is>
          <t>N/D</t>
        </is>
      </c>
    </row>
    <row r="16" hidden="1" ht="15" customHeight="1" s="69">
      <c r="A16" s="68" t="n">
        <v>3</v>
      </c>
      <c r="B16" s="68" t="inlineStr">
        <is>
          <t>TXV-9E58</t>
        </is>
      </c>
      <c r="C16" s="35" t="n">
        <v>46135</v>
      </c>
      <c r="D16" s="68" t="n">
        <v>17964</v>
      </c>
      <c r="E16" s="37" t="n">
        <v>24.04</v>
      </c>
      <c r="F16" s="72">
        <f>G22/E22</f>
        <v/>
      </c>
      <c r="G16" s="73" t="n">
        <v>156</v>
      </c>
      <c r="H16" s="37" t="inlineStr">
        <is>
          <t>Gasolina</t>
        </is>
      </c>
      <c r="I16" s="22" t="inlineStr">
        <is>
          <t xml:space="preserve">Carrefour </t>
        </is>
      </c>
      <c r="J16" s="37" t="inlineStr">
        <is>
          <t>André</t>
        </is>
      </c>
      <c r="K16" s="37" t="inlineStr">
        <is>
          <t>N/D</t>
        </is>
      </c>
    </row>
    <row r="17" hidden="1" ht="15" customHeight="1" s="69">
      <c r="A17" s="68" t="n">
        <v>2</v>
      </c>
      <c r="B17" s="68" t="inlineStr">
        <is>
          <t>TYA-2J42</t>
        </is>
      </c>
      <c r="C17" s="35" t="n">
        <v>46135</v>
      </c>
      <c r="D17" s="68" t="n">
        <v>16989</v>
      </c>
      <c r="E17" s="37" t="n">
        <v>22.56</v>
      </c>
      <c r="F17" s="72">
        <f>G23/E23</f>
        <v/>
      </c>
      <c r="G17" s="73" t="n">
        <v>150</v>
      </c>
      <c r="H17" s="37" t="inlineStr">
        <is>
          <t>Gasolina</t>
        </is>
      </c>
      <c r="I17" s="22" t="inlineStr">
        <is>
          <t xml:space="preserve">Cris. Colombo </t>
        </is>
      </c>
      <c r="J17" s="37" t="inlineStr">
        <is>
          <t>Henrique</t>
        </is>
      </c>
      <c r="K17" s="37" t="inlineStr">
        <is>
          <t>N/D</t>
        </is>
      </c>
    </row>
    <row r="18" hidden="1" ht="15" customHeight="1" s="69">
      <c r="A18" s="68" t="n">
        <v>4</v>
      </c>
      <c r="B18" s="68" t="inlineStr">
        <is>
          <t>TXJ-3C03</t>
        </is>
      </c>
      <c r="C18" s="35" t="n">
        <v>46139</v>
      </c>
      <c r="D18" s="68" t="n">
        <v>8943</v>
      </c>
      <c r="E18" s="37" t="n">
        <v>23.12</v>
      </c>
      <c r="F18" s="73">
        <f>G24/E24</f>
        <v/>
      </c>
      <c r="G18" s="73" t="n">
        <v>120</v>
      </c>
      <c r="H18" s="37" t="inlineStr">
        <is>
          <t xml:space="preserve">Etanol </t>
        </is>
      </c>
      <c r="I18" s="22" t="inlineStr">
        <is>
          <t xml:space="preserve">Cris. Colombo </t>
        </is>
      </c>
      <c r="J18" s="37" t="inlineStr">
        <is>
          <t>Thayna</t>
        </is>
      </c>
      <c r="K18" s="37" t="inlineStr">
        <is>
          <t>N/D</t>
        </is>
      </c>
    </row>
    <row r="19" hidden="1" ht="15" customHeight="1" s="69">
      <c r="A19" s="68" t="n">
        <v>3</v>
      </c>
      <c r="B19" s="68" t="inlineStr">
        <is>
          <t>TXV-9E58</t>
        </is>
      </c>
      <c r="C19" s="35" t="n">
        <v>46147</v>
      </c>
      <c r="D19" s="68" t="n">
        <v>18169</v>
      </c>
      <c r="E19" s="37" t="n">
        <v>38</v>
      </c>
      <c r="F19" s="72">
        <f>G26/E26</f>
        <v/>
      </c>
      <c r="G19" s="73" t="n">
        <v>252.7</v>
      </c>
      <c r="H19" s="37" t="inlineStr">
        <is>
          <t>Gasolina</t>
        </is>
      </c>
      <c r="I19" s="22" t="inlineStr">
        <is>
          <t xml:space="preserve">Cris. Colombo </t>
        </is>
      </c>
      <c r="J19" s="37" t="inlineStr">
        <is>
          <t>André</t>
        </is>
      </c>
      <c r="K19" s="37" t="inlineStr">
        <is>
          <t>N/D</t>
        </is>
      </c>
    </row>
    <row r="20" hidden="1" ht="15" customHeight="1" s="69">
      <c r="A20" s="39" t="n">
        <v>4</v>
      </c>
      <c r="B20" s="67" t="inlineStr">
        <is>
          <t>TXJ-3C03</t>
        </is>
      </c>
      <c r="C20" s="43" t="n">
        <v>46149</v>
      </c>
      <c r="D20" s="30" t="n"/>
      <c r="E20" s="31" t="n"/>
      <c r="F20" s="74" t="n"/>
      <c r="G20" s="74" t="n"/>
      <c r="I20" s="62" t="n"/>
      <c r="J20" s="42" t="n"/>
      <c r="K20" s="42" t="n"/>
    </row>
    <row r="21" hidden="1" ht="15" customHeight="1" s="69">
      <c r="C21" s="76" t="n"/>
      <c r="D21" s="58" t="n"/>
      <c r="E21" s="56" t="n"/>
      <c r="F21" s="75" t="n"/>
      <c r="G21" s="75" t="n"/>
      <c r="H21" s="42" t="n"/>
      <c r="I21" s="62" t="n"/>
      <c r="J21" s="42" t="n"/>
      <c r="K21" s="62" t="n"/>
    </row>
    <row r="22" hidden="1" ht="15" customHeight="1" s="69">
      <c r="C22" s="76" t="n"/>
      <c r="D22" s="58" t="n"/>
      <c r="E22" s="56" t="n"/>
      <c r="F22" s="75" t="n"/>
      <c r="G22" s="75" t="n"/>
      <c r="H22" s="42" t="n"/>
      <c r="I22" s="62" t="n"/>
      <c r="J22" s="42" t="n"/>
      <c r="K22" s="62" t="n"/>
    </row>
    <row r="23" hidden="1" ht="15" customHeight="1" s="69">
      <c r="C23" s="76" t="n"/>
      <c r="D23" s="58" t="n"/>
      <c r="E23" s="56" t="n"/>
      <c r="F23" s="75" t="n"/>
      <c r="G23" s="75" t="n"/>
      <c r="H23" s="42" t="n"/>
      <c r="I23" s="62" t="n"/>
      <c r="J23" s="42" t="n"/>
      <c r="K23" s="62" t="n"/>
    </row>
    <row r="24" hidden="1" ht="15" customHeight="1" s="69">
      <c r="C24" s="76" t="n"/>
      <c r="D24" s="58" t="n"/>
      <c r="E24" s="56" t="n"/>
      <c r="F24" s="75" t="n"/>
      <c r="G24" s="75" t="n"/>
      <c r="H24" s="42" t="n"/>
      <c r="I24" s="62" t="n"/>
      <c r="J24" s="42" t="n"/>
      <c r="K24" s="62" t="n"/>
    </row>
    <row r="25" ht="15" customHeight="1" s="69">
      <c r="C25" s="76" t="n"/>
      <c r="D25" s="58" t="n"/>
      <c r="E25" s="56" t="n"/>
      <c r="F25" s="75" t="n"/>
      <c r="G25" s="75" t="n"/>
      <c r="H25" s="42" t="n"/>
      <c r="I25" s="62" t="n"/>
      <c r="J25" s="42" t="n"/>
      <c r="K25" s="62" t="n"/>
    </row>
    <row r="26" ht="15" customHeight="1" s="69">
      <c r="C26" s="76" t="n"/>
      <c r="D26" s="58" t="n"/>
      <c r="E26" s="56" t="n"/>
      <c r="F26" s="75" t="n"/>
      <c r="G26" s="75" t="n"/>
      <c r="H26" s="42" t="n"/>
      <c r="I26" s="42" t="n"/>
      <c r="J26" s="42" t="n"/>
      <c r="K26" s="62" t="n"/>
    </row>
    <row r="27" ht="15" customHeight="1" s="69">
      <c r="C27" s="76" t="n"/>
      <c r="D27" s="58" t="n"/>
      <c r="E27" s="56" t="n"/>
      <c r="F27" s="75" t="n"/>
      <c r="G27" s="75" t="n"/>
      <c r="H27" s="42" t="n"/>
      <c r="I27" s="42" t="n"/>
      <c r="J27" s="42" t="n"/>
      <c r="K27" s="62" t="n"/>
    </row>
    <row r="28" ht="15" customHeight="1" s="69">
      <c r="C28" s="76" t="n"/>
      <c r="D28" s="58" t="n"/>
      <c r="E28" s="56" t="n"/>
      <c r="F28" s="75" t="n"/>
      <c r="G28" s="75" t="n"/>
      <c r="H28" s="42" t="n"/>
      <c r="I28" s="42" t="n"/>
      <c r="J28" s="42" t="n"/>
      <c r="K28" s="62" t="n"/>
    </row>
    <row r="29" ht="15" customHeight="1" s="69">
      <c r="C29" s="76" t="n"/>
      <c r="D29" s="58" t="n"/>
      <c r="E29" s="56" t="n"/>
      <c r="F29" s="75" t="n"/>
      <c r="G29" s="75" t="n"/>
      <c r="H29" s="42" t="n"/>
      <c r="I29" s="42" t="n"/>
      <c r="J29" s="42" t="n"/>
      <c r="K29" s="62" t="n"/>
    </row>
    <row r="30" ht="15" customHeight="1" s="69">
      <c r="C30" s="76" t="n"/>
      <c r="D30" s="58" t="n"/>
      <c r="E30" s="56" t="n"/>
      <c r="F30" s="75" t="n"/>
      <c r="G30" s="75" t="n"/>
      <c r="H30" s="42" t="n"/>
      <c r="I30" s="42" t="n"/>
      <c r="J30" s="42" t="n"/>
      <c r="K30" s="62" t="n"/>
    </row>
    <row r="31" ht="15" customHeight="1" s="69">
      <c r="C31" s="76" t="n"/>
      <c r="D31" s="58" t="n"/>
      <c r="E31" s="56" t="n"/>
      <c r="F31" s="75" t="n"/>
      <c r="G31" s="75" t="n"/>
      <c r="H31" s="42" t="n"/>
      <c r="I31" s="42" t="n"/>
      <c r="J31" s="42" t="n"/>
      <c r="K31" s="62" t="n"/>
    </row>
    <row r="32" ht="15" customHeight="1" s="69">
      <c r="C32" s="76" t="n"/>
      <c r="D32" s="58" t="n"/>
      <c r="E32" s="56" t="n"/>
      <c r="F32" s="75" t="n"/>
      <c r="G32" s="75" t="n"/>
      <c r="H32" s="42" t="n"/>
      <c r="I32" s="42" t="n"/>
      <c r="J32" s="42" t="n"/>
      <c r="K32" s="62" t="n"/>
    </row>
    <row r="33" ht="15" customHeight="1" s="69">
      <c r="C33" s="76" t="n"/>
      <c r="D33" s="58" t="n"/>
      <c r="E33" s="56" t="n"/>
      <c r="F33" s="75" t="n"/>
      <c r="G33" s="75" t="n"/>
      <c r="H33" s="42" t="n"/>
      <c r="I33" s="42" t="n"/>
      <c r="J33" s="42" t="n"/>
      <c r="K33" s="62" t="n"/>
    </row>
    <row r="34" ht="15" customHeight="1" s="69">
      <c r="C34" s="76" t="n"/>
      <c r="D34" s="58" t="n"/>
      <c r="E34" s="56" t="n"/>
      <c r="F34" s="75" t="n"/>
      <c r="G34" s="75" t="n"/>
      <c r="H34" s="42" t="n"/>
      <c r="I34" s="42" t="n"/>
      <c r="J34" s="42" t="n"/>
      <c r="K34" s="62" t="n"/>
    </row>
    <row r="35" ht="15" customHeight="1" s="69">
      <c r="C35" s="76" t="n"/>
      <c r="D35" s="58" t="n"/>
      <c r="E35" s="56" t="n"/>
      <c r="F35" s="75" t="n"/>
      <c r="G35" s="75" t="n"/>
      <c r="H35" s="42" t="n"/>
      <c r="I35" s="42" t="n"/>
      <c r="J35" s="42" t="n"/>
      <c r="K35" s="62" t="n"/>
    </row>
    <row r="36" ht="15" customHeight="1" s="69">
      <c r="C36" s="76" t="n"/>
      <c r="D36" s="59" t="n"/>
      <c r="E36" s="31" t="n"/>
      <c r="F36" s="74" t="n"/>
      <c r="G36" s="74" t="n"/>
      <c r="H36" s="42" t="n"/>
      <c r="I36" s="42" t="n"/>
      <c r="J36" s="42" t="n"/>
      <c r="K36" s="62" t="n"/>
    </row>
    <row r="37" ht="15" customHeight="1" s="69">
      <c r="C37" s="76" t="n"/>
      <c r="D37" s="30" t="n"/>
      <c r="E37" s="31" t="n"/>
      <c r="F37" s="74" t="n"/>
      <c r="G37" s="74" t="n"/>
      <c r="K37" s="62" t="n"/>
    </row>
    <row r="38" ht="15" customHeight="1" s="69">
      <c r="C38" s="76" t="n"/>
      <c r="D38" s="30" t="n"/>
      <c r="E38" s="31" t="n"/>
      <c r="F38" s="74" t="n"/>
      <c r="G38" s="74" t="n"/>
      <c r="K38" s="62" t="n"/>
    </row>
    <row r="39" ht="15" customHeight="1" s="69">
      <c r="C39" s="76" t="n"/>
      <c r="D39" s="30" t="n"/>
      <c r="E39" s="31" t="n"/>
      <c r="F39" s="74" t="n"/>
      <c r="G39" s="74" t="n"/>
      <c r="K39" s="62" t="n"/>
    </row>
    <row r="40" ht="15" customHeight="1" s="69">
      <c r="C40" s="76" t="n"/>
      <c r="D40" s="30" t="n"/>
      <c r="E40" s="31" t="n"/>
      <c r="F40" s="74" t="n"/>
      <c r="G40" s="74" t="n"/>
    </row>
    <row r="41" ht="15" customHeight="1" s="69">
      <c r="C41" s="76" t="n"/>
      <c r="D41" s="30" t="n"/>
      <c r="E41" s="31" t="n"/>
      <c r="F41" s="74" t="n"/>
      <c r="G41" s="74" t="n"/>
    </row>
    <row r="42" ht="15" customHeight="1" s="69">
      <c r="C42" s="76" t="n"/>
      <c r="D42" s="30" t="n"/>
      <c r="E42" s="31" t="n"/>
      <c r="F42" s="74" t="n"/>
      <c r="G42" s="74" t="n"/>
    </row>
    <row r="43" ht="15" customHeight="1" s="69">
      <c r="C43" s="76" t="n"/>
      <c r="D43" s="30" t="n"/>
      <c r="E43" s="31" t="n"/>
      <c r="F43" s="74" t="n"/>
      <c r="G43" s="74" t="n"/>
    </row>
    <row r="44" ht="15" customHeight="1" s="69">
      <c r="C44" s="76" t="n"/>
      <c r="D44" s="30" t="n"/>
      <c r="E44" s="31" t="n"/>
      <c r="F44" s="74" t="n"/>
      <c r="G44" s="74" t="n"/>
    </row>
    <row r="45" ht="15" customHeight="1" s="69">
      <c r="C45" s="76" t="n"/>
      <c r="D45" s="30" t="n"/>
      <c r="E45" s="31" t="n"/>
      <c r="F45" s="74" t="n"/>
      <c r="G45" s="74" t="n"/>
    </row>
    <row r="46" ht="15" customHeight="1" s="69">
      <c r="C46" s="76" t="n"/>
      <c r="D46" s="30" t="n"/>
      <c r="E46" s="31" t="n"/>
      <c r="F46" s="74" t="n"/>
      <c r="G46" s="74" t="n"/>
    </row>
    <row r="47" ht="15" customHeight="1" s="69">
      <c r="C47" s="76" t="n"/>
      <c r="D47" s="30" t="n"/>
      <c r="E47" s="31" t="n"/>
      <c r="F47" s="74" t="n"/>
      <c r="G47" s="74" t="n"/>
    </row>
    <row r="48" ht="15" customHeight="1" s="69">
      <c r="C48" s="76" t="n"/>
      <c r="D48" s="30" t="n"/>
      <c r="E48" s="31" t="n"/>
      <c r="F48" s="74" t="n"/>
      <c r="G48" s="74" t="n"/>
    </row>
    <row r="49" ht="15" customHeight="1" s="69">
      <c r="C49" s="76" t="n"/>
      <c r="D49" s="30" t="n"/>
      <c r="E49" s="31" t="n"/>
      <c r="F49" s="74" t="n"/>
      <c r="G49" s="74" t="n"/>
    </row>
    <row r="50" ht="15" customHeight="1" s="69">
      <c r="C50" s="76" t="n"/>
      <c r="D50" s="30" t="n"/>
      <c r="E50" s="31" t="n"/>
      <c r="F50" s="74" t="n"/>
      <c r="G50" s="74" t="n"/>
    </row>
    <row r="51" ht="15" customHeight="1" s="69">
      <c r="C51" s="76" t="n"/>
      <c r="D51" s="30" t="n"/>
      <c r="E51" s="31" t="n"/>
      <c r="F51" s="74" t="n"/>
      <c r="G51" s="74" t="n"/>
    </row>
    <row r="52" ht="15" customHeight="1" s="69">
      <c r="C52" s="76" t="n"/>
      <c r="D52" s="30" t="n"/>
      <c r="E52" s="31" t="n"/>
      <c r="F52" s="74" t="n"/>
      <c r="G52" s="74" t="n"/>
    </row>
    <row r="53" ht="15" customHeight="1" s="69">
      <c r="C53" s="76" t="n"/>
      <c r="D53" s="30" t="n"/>
      <c r="E53" s="31" t="n"/>
      <c r="F53" s="74" t="n"/>
      <c r="G53" s="74" t="n"/>
    </row>
    <row r="54" ht="15" customHeight="1" s="69">
      <c r="C54" s="76" t="n"/>
      <c r="D54" s="30" t="n"/>
      <c r="E54" s="31" t="n"/>
      <c r="F54" s="74" t="n"/>
      <c r="G54" s="74" t="n"/>
    </row>
    <row r="55" ht="15" customHeight="1" s="69">
      <c r="C55" s="76" t="n"/>
      <c r="D55" s="30" t="n"/>
      <c r="E55" s="31" t="n"/>
      <c r="F55" s="74" t="n"/>
      <c r="G55" s="74" t="n"/>
    </row>
    <row r="56" ht="15" customHeight="1" s="69">
      <c r="C56" s="76" t="n"/>
      <c r="D56" s="30" t="n"/>
      <c r="E56" s="31" t="n"/>
      <c r="F56" s="74" t="n"/>
      <c r="G56" s="74" t="n"/>
    </row>
    <row r="57" ht="15" customHeight="1" s="69">
      <c r="C57" s="76" t="n"/>
      <c r="D57" s="30" t="n"/>
      <c r="E57" s="31" t="n"/>
      <c r="F57" s="74" t="n"/>
      <c r="G57" s="74" t="n"/>
    </row>
    <row r="58" ht="15" customHeight="1" s="69">
      <c r="C58" s="76" t="n"/>
      <c r="D58" s="30" t="n"/>
      <c r="E58" s="31" t="n"/>
      <c r="F58" s="74" t="n"/>
      <c r="G58" s="74" t="n"/>
    </row>
    <row r="59" ht="15" customHeight="1" s="69">
      <c r="C59" s="76" t="n"/>
      <c r="D59" s="30" t="n"/>
      <c r="E59" s="31" t="n"/>
      <c r="F59" s="74" t="n"/>
      <c r="G59" s="74" t="n"/>
    </row>
    <row r="60" ht="15" customHeight="1" s="69">
      <c r="C60" s="76" t="n"/>
      <c r="D60" s="30" t="n"/>
      <c r="E60" s="31" t="n"/>
      <c r="F60" s="74" t="n"/>
      <c r="G60" s="74" t="n"/>
    </row>
    <row r="61" ht="15" customHeight="1" s="69">
      <c r="C61" s="76" t="n"/>
      <c r="D61" s="30" t="n"/>
      <c r="E61" s="31" t="n"/>
      <c r="F61" s="74" t="n"/>
      <c r="G61" s="74" t="n"/>
    </row>
    <row r="62" ht="15" customHeight="1" s="69">
      <c r="C62" s="76" t="n"/>
      <c r="D62" s="30" t="n"/>
      <c r="E62" s="31" t="n"/>
      <c r="F62" s="74" t="n"/>
      <c r="G62" s="74" t="n"/>
    </row>
    <row r="63" ht="15" customHeight="1" s="69">
      <c r="C63" s="76" t="n"/>
      <c r="D63" s="30" t="n"/>
      <c r="E63" s="31" t="n"/>
      <c r="F63" s="74" t="n"/>
      <c r="G63" s="74" t="n"/>
    </row>
    <row r="64" ht="15" customHeight="1" s="69">
      <c r="C64" s="76" t="n"/>
      <c r="D64" s="30" t="n"/>
      <c r="E64" s="31" t="n"/>
      <c r="F64" s="74" t="n"/>
      <c r="G64" s="74" t="n"/>
    </row>
    <row r="65" ht="15" customHeight="1" s="69">
      <c r="C65" s="76" t="n"/>
      <c r="D65" s="30" t="n"/>
      <c r="E65" s="31" t="n"/>
      <c r="F65" s="74" t="n"/>
      <c r="G65" s="74" t="n"/>
    </row>
    <row r="66" ht="15" customHeight="1" s="69">
      <c r="C66" s="76" t="n"/>
      <c r="D66" s="30" t="n"/>
      <c r="E66" s="31" t="n"/>
      <c r="F66" s="74" t="n"/>
      <c r="G66" s="74" t="n"/>
    </row>
    <row r="67" ht="15" customHeight="1" s="69">
      <c r="C67" s="76" t="n"/>
      <c r="D67" s="30" t="n"/>
      <c r="E67" s="31" t="n"/>
      <c r="F67" s="74" t="n"/>
      <c r="G67" s="74" t="n"/>
    </row>
    <row r="68" ht="15" customHeight="1" s="69">
      <c r="C68" s="76" t="n"/>
      <c r="D68" s="30" t="n"/>
      <c r="E68" s="31" t="n"/>
      <c r="F68" s="74" t="n"/>
      <c r="G68" s="74" t="n"/>
    </row>
    <row r="69" ht="15" customHeight="1" s="69">
      <c r="C69" s="76" t="n"/>
      <c r="D69" s="30" t="n"/>
      <c r="E69" s="31" t="n"/>
      <c r="F69" s="74" t="n"/>
      <c r="G69" s="74" t="n"/>
    </row>
    <row r="70" ht="15" customHeight="1" s="69">
      <c r="C70" s="76" t="n"/>
      <c r="D70" s="30" t="n"/>
      <c r="E70" s="31" t="n"/>
      <c r="F70" s="74" t="n"/>
      <c r="G70" s="74" t="n"/>
    </row>
    <row r="71" ht="15" customHeight="1" s="69">
      <c r="C71" s="76" t="n"/>
      <c r="D71" s="30" t="n"/>
      <c r="E71" s="31" t="n"/>
      <c r="F71" s="74" t="n"/>
      <c r="G71" s="74" t="n"/>
    </row>
    <row r="72" ht="15" customHeight="1" s="69">
      <c r="C72" s="76" t="n"/>
      <c r="D72" s="30" t="n"/>
      <c r="E72" s="31" t="n"/>
      <c r="F72" s="74" t="n"/>
      <c r="G72" s="74" t="n"/>
    </row>
    <row r="73" ht="15" customHeight="1" s="69">
      <c r="C73" s="76" t="n"/>
      <c r="D73" s="30" t="n"/>
      <c r="E73" s="31" t="n"/>
      <c r="F73" s="74" t="n"/>
      <c r="G73" s="74" t="n"/>
    </row>
    <row r="74" ht="15" customHeight="1" s="69">
      <c r="C74" s="76" t="n"/>
      <c r="D74" s="30" t="n"/>
      <c r="E74" s="31" t="n"/>
      <c r="F74" s="74" t="n"/>
      <c r="G74" s="74" t="n"/>
    </row>
    <row r="75" ht="15" customHeight="1" s="69">
      <c r="C75" s="76" t="n"/>
      <c r="D75" s="30" t="n"/>
      <c r="E75" s="31" t="n"/>
      <c r="F75" s="74" t="n"/>
      <c r="G75" s="74" t="n"/>
    </row>
    <row r="76" ht="15" customHeight="1" s="69">
      <c r="C76" s="76" t="n"/>
      <c r="D76" s="30" t="n"/>
      <c r="E76" s="31" t="n"/>
      <c r="F76" s="74" t="n"/>
      <c r="G76" s="74" t="n"/>
    </row>
    <row r="77" ht="15" customHeight="1" s="69">
      <c r="C77" s="76" t="n"/>
      <c r="D77" s="30" t="n"/>
      <c r="E77" s="31" t="n"/>
      <c r="F77" s="74" t="n"/>
      <c r="G77" s="74" t="n"/>
    </row>
    <row r="78" ht="15" customHeight="1" s="69">
      <c r="C78" s="76" t="n"/>
      <c r="D78" s="30" t="n"/>
      <c r="E78" s="31" t="n"/>
      <c r="F78" s="74" t="n"/>
      <c r="G78" s="74" t="n"/>
    </row>
    <row r="79" ht="15" customHeight="1" s="69">
      <c r="C79" s="76" t="n"/>
      <c r="D79" s="30" t="n"/>
      <c r="E79" s="31" t="n"/>
      <c r="F79" s="74" t="n"/>
      <c r="G79" s="74" t="n"/>
    </row>
    <row r="80" ht="15" customHeight="1" s="69">
      <c r="C80" s="76" t="n"/>
      <c r="D80" s="30" t="n"/>
      <c r="E80" s="31" t="n"/>
      <c r="F80" s="74" t="n"/>
      <c r="G80" s="74" t="n"/>
    </row>
    <row r="81" ht="15" customHeight="1" s="69">
      <c r="C81" s="76" t="n"/>
      <c r="D81" s="30" t="n"/>
      <c r="E81" s="31" t="n"/>
      <c r="F81" s="74" t="n"/>
      <c r="G81" s="74" t="n"/>
    </row>
    <row r="82" ht="15" customHeight="1" s="69">
      <c r="C82" s="76" t="n"/>
      <c r="D82" s="30" t="n"/>
      <c r="E82" s="31" t="n"/>
      <c r="F82" s="74" t="n"/>
      <c r="G82" s="74" t="n"/>
    </row>
    <row r="83" ht="15" customHeight="1" s="69">
      <c r="C83" s="76" t="n"/>
      <c r="D83" s="30" t="n"/>
      <c r="E83" s="31" t="n"/>
      <c r="F83" s="74" t="n"/>
      <c r="G83" s="74" t="n"/>
    </row>
    <row r="84" ht="15" customHeight="1" s="69">
      <c r="C84" s="76" t="n"/>
      <c r="D84" s="30" t="n"/>
      <c r="E84" s="31" t="n"/>
      <c r="F84" s="74" t="n"/>
      <c r="G84" s="74" t="n"/>
    </row>
    <row r="85" ht="15" customHeight="1" s="69">
      <c r="C85" s="76" t="n"/>
      <c r="D85" s="30" t="n"/>
      <c r="E85" s="31" t="n"/>
      <c r="F85" s="74" t="n"/>
      <c r="G85" s="74" t="n"/>
    </row>
    <row r="86" ht="15" customHeight="1" s="69">
      <c r="C86" s="76" t="n"/>
      <c r="D86" s="30" t="n"/>
      <c r="E86" s="31" t="n"/>
      <c r="F86" s="74" t="n"/>
      <c r="G86" s="74" t="n"/>
    </row>
    <row r="87" ht="15" customHeight="1" s="69">
      <c r="C87" s="76" t="n"/>
      <c r="D87" s="30" t="n"/>
      <c r="E87" s="31" t="n"/>
      <c r="F87" s="74" t="n"/>
      <c r="G87" s="74" t="n"/>
    </row>
    <row r="88" ht="15" customHeight="1" s="69">
      <c r="C88" s="76" t="n"/>
      <c r="D88" s="30" t="n"/>
      <c r="E88" s="31" t="n"/>
      <c r="F88" s="74" t="n"/>
      <c r="G88" s="74" t="n"/>
    </row>
    <row r="89" ht="15" customHeight="1" s="69">
      <c r="C89" s="76" t="n"/>
      <c r="D89" s="30" t="n"/>
      <c r="E89" s="31" t="n"/>
      <c r="F89" s="74" t="n"/>
      <c r="G89" s="74" t="n"/>
    </row>
    <row r="90" ht="15" customHeight="1" s="69">
      <c r="C90" s="76" t="n"/>
      <c r="D90" s="30" t="n"/>
      <c r="E90" s="31" t="n"/>
      <c r="F90" s="74" t="n"/>
      <c r="G90" s="74" t="n"/>
    </row>
    <row r="91" ht="15" customHeight="1" s="69"/>
    <row r="92" ht="15" customHeight="1" s="69"/>
    <row r="93" ht="15" customHeight="1" s="69"/>
    <row r="94" ht="15" customHeight="1" s="69"/>
    <row r="95" ht="15" customHeight="1" s="69"/>
    <row r="96" ht="15" customHeight="1" s="69"/>
    <row r="97" ht="15" customHeight="1" s="69"/>
    <row r="98" ht="15" customHeight="1" s="69"/>
    <row r="99" ht="15" customHeight="1" s="69"/>
    <row r="100" ht="15" customHeight="1" s="69"/>
  </sheetData>
  <autoFilter ref="A3:K28">
    <filterColumn colId="2" hiddenButton="0" showButton="1">
      <filters>
        <dateGroupItem year="2026" month="5" dateTimeGrouping="month"/>
      </filters>
    </filterColumn>
  </autoFilter>
  <mergeCells count="1">
    <mergeCell ref="A1:K1"/>
  </mergeCells>
  <pageMargins left="0.7" right="0.7" top="0.75" bottom="0.75" header="0.3" footer="0.3"/>
  <pageSetup orientation="portrait"/>
  <headerFooter>
    <oddHeader>&amp;L&amp;C&amp;R</oddHeader>
    <oddFooter>&amp;L&amp;"Aptos"&amp;10 &amp;K000000_x000d_# Uso interno — Spassu Tecnologia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9"/>
  <sheetViews>
    <sheetView showGridLines="0" workbookViewId="0">
      <pane ySplit="3" topLeftCell="A4" activePane="bottomLeft" state="frozen"/>
      <selection pane="bottomLeft" activeCell="M6" sqref="M6"/>
    </sheetView>
  </sheetViews>
  <sheetFormatPr baseColWidth="8" defaultColWidth="8.85546875" defaultRowHeight="15" customHeight="1"/>
  <cols>
    <col width="3.28515625" customWidth="1" style="69" min="1" max="1"/>
    <col width="9.42578125" customWidth="1" style="69" min="2" max="2"/>
    <col width="16.5703125" customWidth="1" style="69" min="3" max="3"/>
    <col width="14.140625" customWidth="1" style="69" min="4" max="4"/>
    <col width="14.42578125" customWidth="1" style="69" min="5" max="5"/>
    <col width="25.7109375" customWidth="1" style="69" min="6" max="6"/>
    <col width="20.7109375" customWidth="1" style="69" min="7" max="7"/>
    <col width="10.140625" customWidth="1" style="69" min="8" max="8"/>
    <col width="21" customWidth="1" style="69" min="9" max="9"/>
    <col width="17.28515625" customWidth="1" style="69" min="10" max="10"/>
    <col width="14.85546875" customWidth="1" style="69" min="11" max="11"/>
    <col width="23.7109375" customWidth="1" style="69" min="12" max="12"/>
  </cols>
  <sheetData>
    <row r="1" ht="22.5" customHeight="1" s="69">
      <c r="A1" s="60" t="inlineStr">
        <is>
          <t>CONTROLE DE REVISÕES E MANUTENÇÃO</t>
        </is>
      </c>
    </row>
    <row r="3" ht="15" customHeight="1" s="69">
      <c r="A3" s="26" t="inlineStr">
        <is>
          <t>ID</t>
        </is>
      </c>
      <c r="B3" s="26" t="inlineStr">
        <is>
          <t>Placa</t>
        </is>
      </c>
      <c r="C3" s="26" t="inlineStr">
        <is>
          <t>Tipo</t>
        </is>
      </c>
      <c r="D3" s="26" t="inlineStr">
        <is>
          <t>Data</t>
        </is>
      </c>
      <c r="E3" s="26" t="inlineStr">
        <is>
          <t>KM</t>
        </is>
      </c>
      <c r="F3" s="26" t="inlineStr">
        <is>
          <t>Descrição</t>
        </is>
      </c>
      <c r="G3" s="26" t="inlineStr">
        <is>
          <t>Oficina</t>
        </is>
      </c>
      <c r="H3" s="26" t="inlineStr">
        <is>
          <t>Valor</t>
        </is>
      </c>
      <c r="I3" s="26" t="inlineStr">
        <is>
          <t>Próxima Revisão</t>
        </is>
      </c>
      <c r="J3" s="26" t="inlineStr">
        <is>
          <t>KM Próxima</t>
        </is>
      </c>
      <c r="K3" s="26" t="inlineStr">
        <is>
          <t>Status</t>
        </is>
      </c>
      <c r="L3" s="26" t="inlineStr">
        <is>
          <t>Observações</t>
        </is>
      </c>
    </row>
    <row r="4" ht="15" customHeight="1" s="69">
      <c r="A4" s="20" t="n">
        <v>2</v>
      </c>
      <c r="B4" s="20" t="inlineStr">
        <is>
          <t>TYA-2J42</t>
        </is>
      </c>
      <c r="C4" s="20" t="inlineStr">
        <is>
          <t>Preventiva</t>
        </is>
      </c>
      <c r="D4" s="21" t="n">
        <v>46101</v>
      </c>
      <c r="E4" s="20" t="n">
        <v>15675</v>
      </c>
      <c r="F4" s="20" t="inlineStr">
        <is>
          <t>Revisão de 10000 KM</t>
        </is>
      </c>
      <c r="G4" s="20" t="n"/>
      <c r="H4" s="20" t="n"/>
      <c r="I4" s="20" t="n">
        <v>20000</v>
      </c>
      <c r="J4" s="20" t="n"/>
      <c r="K4" s="20" t="inlineStr">
        <is>
          <t xml:space="preserve">Agendar </t>
        </is>
      </c>
      <c r="L4" s="20" t="n"/>
    </row>
    <row r="5" ht="15" customHeight="1" s="69">
      <c r="A5" s="18" t="n">
        <v>3</v>
      </c>
      <c r="B5" s="18" t="inlineStr">
        <is>
          <t>TXV-9E58</t>
        </is>
      </c>
      <c r="C5" s="18" t="inlineStr">
        <is>
          <t>Preventiva</t>
        </is>
      </c>
      <c r="D5" s="54" t="n">
        <v>46119</v>
      </c>
      <c r="E5" s="18" t="n">
        <v>16976</v>
      </c>
      <c r="F5" s="18" t="inlineStr">
        <is>
          <t>Revisão de 10000 KM</t>
        </is>
      </c>
      <c r="G5" s="18" t="n"/>
      <c r="H5" s="18" t="n"/>
      <c r="I5" s="18" t="n">
        <v>20000</v>
      </c>
      <c r="J5" s="18" t="n"/>
      <c r="K5" s="18" t="inlineStr">
        <is>
          <t xml:space="preserve">Agendar </t>
        </is>
      </c>
      <c r="L5" s="18" t="n"/>
    </row>
    <row r="6" ht="15" customHeight="1" s="69">
      <c r="A6" s="20" t="n">
        <v>4</v>
      </c>
      <c r="B6" s="20" t="inlineStr">
        <is>
          <t>TXJ-3C03</t>
        </is>
      </c>
      <c r="C6" s="20" t="inlineStr">
        <is>
          <t>Preventiva</t>
        </is>
      </c>
      <c r="D6" s="21" t="n">
        <v>46104</v>
      </c>
      <c r="E6" s="20" t="n">
        <v>7953</v>
      </c>
      <c r="F6" s="20" t="inlineStr">
        <is>
          <t>Revisão de 10000 KM</t>
        </is>
      </c>
      <c r="G6" s="20" t="n"/>
      <c r="H6" s="20" t="n"/>
      <c r="I6" s="20" t="n">
        <v>10000</v>
      </c>
      <c r="J6" s="20" t="n"/>
      <c r="K6" s="20" t="inlineStr">
        <is>
          <t xml:space="preserve">Agendar </t>
        </is>
      </c>
      <c r="L6" s="20" t="inlineStr">
        <is>
          <t>Agendar Revisão</t>
        </is>
      </c>
    </row>
    <row r="7" ht="15" customHeight="1" s="69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 ht="15" customHeight="1" s="69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</row>
    <row r="9" ht="15" customHeight="1" s="69">
      <c r="A9" s="68" t="n"/>
      <c r="B9" s="68" t="n"/>
      <c r="C9" s="68" t="n"/>
      <c r="D9" s="68" t="n"/>
      <c r="E9" s="68" t="n"/>
      <c r="F9" s="68" t="n"/>
      <c r="G9" s="68" t="n"/>
      <c r="H9" s="68" t="n"/>
      <c r="I9" s="68" t="n"/>
      <c r="J9" s="68" t="n"/>
      <c r="K9" s="68" t="n"/>
      <c r="L9" s="68" t="n"/>
    </row>
    <row r="10" ht="15" customHeight="1" s="69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</row>
    <row r="11" ht="15" customHeight="1" s="69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</row>
    <row r="12" ht="15" customHeight="1" s="69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15" customHeight="1" s="69">
      <c r="A13" s="68" t="n"/>
      <c r="B13" s="68" t="n"/>
      <c r="C13" s="68" t="n"/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</row>
    <row r="14" ht="15" customHeight="1" s="69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</row>
    <row r="15" ht="15" customHeight="1" s="69">
      <c r="A15" s="68" t="n"/>
      <c r="B15" s="68" t="n"/>
      <c r="C15" s="68" t="n"/>
      <c r="D15" s="68" t="n"/>
      <c r="E15" s="68" t="n"/>
      <c r="F15" s="68" t="n"/>
      <c r="G15" s="68" t="n"/>
      <c r="H15" s="68" t="n"/>
      <c r="I15" s="68" t="n"/>
      <c r="J15" s="68" t="n"/>
      <c r="K15" s="68" t="n"/>
      <c r="L15" s="68" t="n"/>
    </row>
    <row r="16" ht="15" customHeight="1" s="69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15" customHeight="1" s="69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</row>
    <row r="18" ht="15" customHeight="1" s="69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</row>
    <row r="19" ht="15" customHeight="1" s="69">
      <c r="A19" s="68" t="n"/>
      <c r="B19" s="68" t="n"/>
      <c r="C19" s="68" t="n"/>
      <c r="D19" s="68" t="n"/>
      <c r="E19" s="68" t="n"/>
      <c r="F19" s="68" t="n"/>
      <c r="G19" s="68" t="n"/>
      <c r="H19" s="68" t="n"/>
      <c r="I19" s="68" t="n"/>
      <c r="J19" s="68" t="n"/>
      <c r="K19" s="68" t="n"/>
      <c r="L19" s="68" t="n"/>
    </row>
    <row r="20" ht="15" customHeight="1" s="69">
      <c r="D20" s="76" t="n"/>
      <c r="E20" s="30" t="n"/>
      <c r="H20" s="74" t="n"/>
      <c r="I20" s="76" t="n"/>
      <c r="J20" s="30" t="n"/>
    </row>
    <row r="21" ht="15" customHeight="1" s="69">
      <c r="D21" s="76" t="n"/>
      <c r="E21" s="30" t="n"/>
      <c r="H21" s="74" t="n"/>
      <c r="I21" s="76" t="n"/>
      <c r="J21" s="30" t="n"/>
    </row>
    <row r="22" ht="15" customHeight="1" s="69">
      <c r="D22" s="76" t="n"/>
      <c r="E22" s="30" t="n"/>
      <c r="H22" s="74" t="n"/>
      <c r="I22" s="76" t="n"/>
      <c r="J22" s="30" t="n"/>
    </row>
    <row r="23" ht="15" customHeight="1" s="69">
      <c r="D23" s="76" t="n"/>
      <c r="E23" s="30" t="n"/>
      <c r="H23" s="74" t="n"/>
      <c r="I23" s="76" t="n"/>
      <c r="J23" s="30" t="n"/>
    </row>
    <row r="24" ht="15" customHeight="1" s="69">
      <c r="D24" s="76" t="n"/>
      <c r="E24" s="30" t="n"/>
      <c r="H24" s="74" t="n"/>
      <c r="I24" s="76" t="n"/>
      <c r="J24" s="30" t="n"/>
    </row>
    <row r="25" ht="15" customHeight="1" s="69">
      <c r="D25" s="76" t="n"/>
      <c r="E25" s="30" t="n"/>
      <c r="H25" s="74" t="n"/>
      <c r="I25" s="76" t="n"/>
      <c r="J25" s="30" t="n"/>
    </row>
    <row r="26" ht="15" customHeight="1" s="69">
      <c r="D26" s="76" t="n"/>
      <c r="E26" s="30" t="n"/>
      <c r="H26" s="74" t="n"/>
      <c r="I26" s="76" t="n"/>
      <c r="J26" s="30" t="n"/>
    </row>
    <row r="27" ht="15" customHeight="1" s="69">
      <c r="D27" s="76" t="n"/>
      <c r="E27" s="30" t="n"/>
      <c r="H27" s="74" t="n"/>
      <c r="I27" s="76" t="n"/>
      <c r="J27" s="30" t="n"/>
    </row>
    <row r="28" ht="15" customHeight="1" s="69">
      <c r="D28" s="76" t="n"/>
      <c r="E28" s="30" t="n"/>
      <c r="H28" s="74" t="n"/>
      <c r="I28" s="76" t="n"/>
      <c r="J28" s="30" t="n"/>
    </row>
    <row r="29" ht="15" customHeight="1" s="69">
      <c r="D29" s="76" t="n"/>
      <c r="E29" s="30" t="n"/>
      <c r="H29" s="74" t="n"/>
      <c r="I29" s="76" t="n"/>
      <c r="J29" s="30" t="n"/>
    </row>
    <row r="30" ht="15" customHeight="1" s="69">
      <c r="D30" s="76" t="n"/>
      <c r="E30" s="30" t="n"/>
      <c r="H30" s="74" t="n"/>
      <c r="I30" s="76" t="n"/>
      <c r="J30" s="30" t="n"/>
    </row>
    <row r="31" ht="15" customHeight="1" s="69">
      <c r="D31" s="76" t="n"/>
      <c r="E31" s="30" t="n"/>
      <c r="H31" s="74" t="n"/>
      <c r="I31" s="76" t="n"/>
      <c r="J31" s="30" t="n"/>
    </row>
    <row r="32" ht="15" customHeight="1" s="69">
      <c r="D32" s="76" t="n"/>
      <c r="E32" s="30" t="n"/>
      <c r="H32" s="74" t="n"/>
      <c r="I32" s="76" t="n"/>
      <c r="J32" s="30" t="n"/>
    </row>
    <row r="33" ht="15" customHeight="1" s="69">
      <c r="D33" s="76" t="n"/>
      <c r="E33" s="30" t="n"/>
      <c r="H33" s="74" t="n"/>
      <c r="I33" s="76" t="n"/>
      <c r="J33" s="30" t="n"/>
    </row>
    <row r="34" ht="15" customHeight="1" s="69">
      <c r="D34" s="76" t="n"/>
      <c r="E34" s="30" t="n"/>
      <c r="H34" s="74" t="n"/>
      <c r="I34" s="76" t="n"/>
      <c r="J34" s="30" t="n"/>
    </row>
    <row r="35" ht="15" customHeight="1" s="69">
      <c r="D35" s="76" t="n"/>
      <c r="E35" s="30" t="n"/>
      <c r="H35" s="74" t="n"/>
      <c r="I35" s="76" t="n"/>
      <c r="J35" s="30" t="n"/>
    </row>
    <row r="36" ht="15" customHeight="1" s="69">
      <c r="D36" s="76" t="n"/>
      <c r="E36" s="30" t="n"/>
      <c r="H36" s="74" t="n"/>
      <c r="I36" s="76" t="n"/>
      <c r="J36" s="30" t="n"/>
    </row>
    <row r="37" ht="15" customHeight="1" s="69">
      <c r="D37" s="76" t="n"/>
      <c r="E37" s="30" t="n"/>
      <c r="H37" s="74" t="n"/>
      <c r="I37" s="76" t="n"/>
      <c r="J37" s="30" t="n"/>
    </row>
    <row r="38" ht="15" customHeight="1" s="69">
      <c r="D38" s="76" t="n"/>
      <c r="E38" s="30" t="n"/>
      <c r="H38" s="74" t="n"/>
      <c r="I38" s="76" t="n"/>
      <c r="J38" s="30" t="n"/>
    </row>
    <row r="39" ht="15" customHeight="1" s="69">
      <c r="D39" s="76" t="n"/>
      <c r="E39" s="30" t="n"/>
      <c r="H39" s="74" t="n"/>
      <c r="I39" s="76" t="n"/>
      <c r="J39" s="30" t="n"/>
    </row>
    <row r="40" ht="15" customHeight="1" s="69">
      <c r="D40" s="76" t="n"/>
      <c r="E40" s="30" t="n"/>
      <c r="H40" s="74" t="n"/>
      <c r="I40" s="76" t="n"/>
      <c r="J40" s="30" t="n"/>
    </row>
    <row r="41" ht="15" customHeight="1" s="69">
      <c r="D41" s="76" t="n"/>
      <c r="E41" s="30" t="n"/>
      <c r="H41" s="74" t="n"/>
      <c r="I41" s="76" t="n"/>
      <c r="J41" s="30" t="n"/>
    </row>
    <row r="42" ht="15" customHeight="1" s="69">
      <c r="D42" s="76" t="n"/>
      <c r="E42" s="30" t="n"/>
      <c r="H42" s="74" t="n"/>
      <c r="I42" s="76" t="n"/>
      <c r="J42" s="30" t="n"/>
    </row>
    <row r="43" ht="15" customHeight="1" s="69">
      <c r="D43" s="76" t="n"/>
      <c r="E43" s="30" t="n"/>
      <c r="H43" s="74" t="n"/>
      <c r="I43" s="76" t="n"/>
      <c r="J43" s="30" t="n"/>
    </row>
    <row r="44" ht="15" customHeight="1" s="69">
      <c r="D44" s="76" t="n"/>
      <c r="E44" s="30" t="n"/>
      <c r="H44" s="74" t="n"/>
      <c r="I44" s="76" t="n"/>
      <c r="J44" s="30" t="n"/>
    </row>
    <row r="45" ht="15" customHeight="1" s="69">
      <c r="D45" s="76" t="n"/>
      <c r="E45" s="30" t="n"/>
      <c r="H45" s="74" t="n"/>
      <c r="I45" s="76" t="n"/>
      <c r="J45" s="30" t="n"/>
    </row>
    <row r="46" ht="15" customHeight="1" s="69">
      <c r="D46" s="76" t="n"/>
      <c r="E46" s="30" t="n"/>
      <c r="H46" s="74" t="n"/>
      <c r="I46" s="76" t="n"/>
      <c r="J46" s="30" t="n"/>
    </row>
    <row r="47" ht="15" customHeight="1" s="69">
      <c r="D47" s="76" t="n"/>
      <c r="E47" s="30" t="n"/>
      <c r="H47" s="74" t="n"/>
      <c r="I47" s="76" t="n"/>
      <c r="J47" s="30" t="n"/>
    </row>
    <row r="48" ht="15" customHeight="1" s="69">
      <c r="D48" s="76" t="n"/>
      <c r="E48" s="30" t="n"/>
      <c r="H48" s="74" t="n"/>
      <c r="I48" s="76" t="n"/>
      <c r="J48" s="30" t="n"/>
    </row>
    <row r="49" ht="15" customHeight="1" s="69">
      <c r="D49" s="76" t="n"/>
      <c r="E49" s="30" t="n"/>
      <c r="H49" s="74" t="n"/>
      <c r="I49" s="76" t="n"/>
      <c r="J49" s="30" t="n"/>
    </row>
    <row r="50" ht="15" customHeight="1" s="69">
      <c r="D50" s="76" t="n"/>
      <c r="E50" s="30" t="n"/>
      <c r="H50" s="74" t="n"/>
      <c r="I50" s="76" t="n"/>
      <c r="J50" s="30" t="n"/>
    </row>
    <row r="51" ht="15" customHeight="1" s="69">
      <c r="D51" s="76" t="n"/>
      <c r="E51" s="30" t="n"/>
      <c r="H51" s="74" t="n"/>
      <c r="I51" s="76" t="n"/>
      <c r="J51" s="30" t="n"/>
    </row>
    <row r="52" ht="15" customHeight="1" s="69">
      <c r="D52" s="76" t="n"/>
      <c r="E52" s="30" t="n"/>
      <c r="H52" s="74" t="n"/>
      <c r="I52" s="76" t="n"/>
      <c r="J52" s="30" t="n"/>
    </row>
    <row r="53" ht="15" customHeight="1" s="69">
      <c r="D53" s="76" t="n"/>
      <c r="E53" s="30" t="n"/>
      <c r="H53" s="74" t="n"/>
      <c r="I53" s="76" t="n"/>
      <c r="J53" s="30" t="n"/>
    </row>
    <row r="54" ht="15" customHeight="1" s="69">
      <c r="D54" s="76" t="n"/>
      <c r="E54" s="30" t="n"/>
      <c r="H54" s="74" t="n"/>
      <c r="I54" s="76" t="n"/>
      <c r="J54" s="30" t="n"/>
    </row>
    <row r="55" ht="15" customHeight="1" s="69">
      <c r="D55" s="76" t="n"/>
      <c r="E55" s="30" t="n"/>
      <c r="H55" s="74" t="n"/>
      <c r="I55" s="76" t="n"/>
      <c r="J55" s="30" t="n"/>
    </row>
    <row r="56" ht="15" customHeight="1" s="69">
      <c r="D56" s="76" t="n"/>
      <c r="E56" s="30" t="n"/>
      <c r="H56" s="74" t="n"/>
      <c r="I56" s="76" t="n"/>
      <c r="J56" s="30" t="n"/>
    </row>
    <row r="57" ht="15" customHeight="1" s="69">
      <c r="D57" s="76" t="n"/>
      <c r="E57" s="30" t="n"/>
      <c r="H57" s="74" t="n"/>
      <c r="I57" s="76" t="n"/>
      <c r="J57" s="30" t="n"/>
    </row>
    <row r="58" ht="15" customHeight="1" s="69">
      <c r="D58" s="76" t="n"/>
      <c r="E58" s="30" t="n"/>
      <c r="H58" s="74" t="n"/>
      <c r="I58" s="76" t="n"/>
      <c r="J58" s="30" t="n"/>
    </row>
    <row r="59" ht="15" customHeight="1" s="69">
      <c r="D59" s="76" t="n"/>
      <c r="E59" s="30" t="n"/>
      <c r="H59" s="74" t="n"/>
      <c r="I59" s="76" t="n"/>
      <c r="J59" s="30" t="n"/>
    </row>
    <row r="60" ht="15" customHeight="1" s="69">
      <c r="D60" s="76" t="n"/>
      <c r="E60" s="30" t="n"/>
      <c r="H60" s="74" t="n"/>
      <c r="I60" s="76" t="n"/>
      <c r="J60" s="30" t="n"/>
    </row>
    <row r="61" ht="15" customHeight="1" s="69">
      <c r="D61" s="76" t="n"/>
      <c r="E61" s="30" t="n"/>
      <c r="H61" s="74" t="n"/>
      <c r="I61" s="76" t="n"/>
      <c r="J61" s="30" t="n"/>
    </row>
    <row r="62" ht="15" customHeight="1" s="69">
      <c r="D62" s="76" t="n"/>
      <c r="E62" s="30" t="n"/>
      <c r="H62" s="74" t="n"/>
      <c r="I62" s="76" t="n"/>
      <c r="J62" s="30" t="n"/>
    </row>
    <row r="63" ht="15" customHeight="1" s="69">
      <c r="D63" s="76" t="n"/>
      <c r="E63" s="30" t="n"/>
      <c r="H63" s="74" t="n"/>
      <c r="I63" s="76" t="n"/>
      <c r="J63" s="30" t="n"/>
    </row>
    <row r="64" ht="15" customHeight="1" s="69">
      <c r="D64" s="76" t="n"/>
      <c r="E64" s="30" t="n"/>
      <c r="H64" s="74" t="n"/>
      <c r="I64" s="76" t="n"/>
      <c r="J64" s="30" t="n"/>
    </row>
    <row r="65" ht="15" customHeight="1" s="69">
      <c r="D65" s="76" t="n"/>
      <c r="E65" s="30" t="n"/>
      <c r="H65" s="74" t="n"/>
      <c r="I65" s="76" t="n"/>
      <c r="J65" s="30" t="n"/>
    </row>
    <row r="66" ht="15" customHeight="1" s="69">
      <c r="D66" s="76" t="n"/>
      <c r="E66" s="30" t="n"/>
      <c r="H66" s="74" t="n"/>
      <c r="I66" s="76" t="n"/>
      <c r="J66" s="30" t="n"/>
    </row>
    <row r="67" ht="15" customHeight="1" s="69">
      <c r="D67" s="76" t="n"/>
      <c r="E67" s="30" t="n"/>
      <c r="H67" s="74" t="n"/>
      <c r="I67" s="76" t="n"/>
      <c r="J67" s="30" t="n"/>
    </row>
    <row r="68" ht="15" customHeight="1" s="69">
      <c r="D68" s="76" t="n"/>
      <c r="E68" s="30" t="n"/>
      <c r="H68" s="74" t="n"/>
      <c r="I68" s="76" t="n"/>
      <c r="J68" s="30" t="n"/>
    </row>
    <row r="69" ht="15" customHeight="1" s="69">
      <c r="D69" s="76" t="n"/>
      <c r="E69" s="30" t="n"/>
      <c r="H69" s="74" t="n"/>
      <c r="I69" s="76" t="n"/>
      <c r="J69" s="30" t="n"/>
    </row>
    <row r="70" ht="15" customHeight="1" s="69">
      <c r="D70" s="76" t="n"/>
      <c r="E70" s="30" t="n"/>
      <c r="H70" s="74" t="n"/>
      <c r="I70" s="76" t="n"/>
      <c r="J70" s="30" t="n"/>
    </row>
    <row r="71" ht="15" customHeight="1" s="69">
      <c r="D71" s="76" t="n"/>
      <c r="E71" s="30" t="n"/>
      <c r="H71" s="74" t="n"/>
      <c r="I71" s="76" t="n"/>
      <c r="J71" s="30" t="n"/>
    </row>
    <row r="72" ht="15" customHeight="1" s="69">
      <c r="D72" s="76" t="n"/>
      <c r="E72" s="30" t="n"/>
      <c r="H72" s="74" t="n"/>
      <c r="I72" s="76" t="n"/>
      <c r="J72" s="30" t="n"/>
    </row>
    <row r="73" ht="15" customHeight="1" s="69">
      <c r="D73" s="76" t="n"/>
      <c r="E73" s="30" t="n"/>
      <c r="H73" s="74" t="n"/>
      <c r="I73" s="76" t="n"/>
      <c r="J73" s="30" t="n"/>
    </row>
    <row r="74" ht="15" customHeight="1" s="69">
      <c r="D74" s="76" t="n"/>
      <c r="E74" s="30" t="n"/>
      <c r="H74" s="74" t="n"/>
      <c r="I74" s="76" t="n"/>
      <c r="J74" s="30" t="n"/>
    </row>
    <row r="75" ht="15" customHeight="1" s="69">
      <c r="D75" s="76" t="n"/>
      <c r="E75" s="30" t="n"/>
      <c r="H75" s="74" t="n"/>
      <c r="I75" s="76" t="n"/>
      <c r="J75" s="30" t="n"/>
    </row>
    <row r="76" ht="15" customHeight="1" s="69">
      <c r="D76" s="76" t="n"/>
      <c r="E76" s="30" t="n"/>
      <c r="H76" s="74" t="n"/>
      <c r="I76" s="76" t="n"/>
      <c r="J76" s="30" t="n"/>
    </row>
    <row r="77" ht="15" customHeight="1" s="69">
      <c r="D77" s="76" t="n"/>
      <c r="E77" s="30" t="n"/>
      <c r="H77" s="74" t="n"/>
      <c r="I77" s="76" t="n"/>
      <c r="J77" s="30" t="n"/>
    </row>
    <row r="78" ht="15" customHeight="1" s="69">
      <c r="D78" s="76" t="n"/>
      <c r="E78" s="30" t="n"/>
      <c r="H78" s="74" t="n"/>
      <c r="I78" s="76" t="n"/>
      <c r="J78" s="30" t="n"/>
    </row>
    <row r="79" ht="15" customHeight="1" s="69">
      <c r="D79" s="76" t="n"/>
      <c r="E79" s="30" t="n"/>
      <c r="H79" s="74" t="n"/>
      <c r="I79" s="76" t="n"/>
      <c r="J79" s="30" t="n"/>
    </row>
    <row r="80" ht="15" customHeight="1" s="69">
      <c r="D80" s="76" t="n"/>
      <c r="E80" s="30" t="n"/>
      <c r="H80" s="74" t="n"/>
      <c r="I80" s="76" t="n"/>
      <c r="J80" s="30" t="n"/>
    </row>
    <row r="81" ht="15" customHeight="1" s="69">
      <c r="D81" s="76" t="n"/>
      <c r="E81" s="30" t="n"/>
      <c r="H81" s="74" t="n"/>
      <c r="I81" s="76" t="n"/>
      <c r="J81" s="30" t="n"/>
    </row>
    <row r="82" ht="15" customHeight="1" s="69">
      <c r="D82" s="76" t="n"/>
      <c r="E82" s="30" t="n"/>
      <c r="H82" s="74" t="n"/>
      <c r="I82" s="76" t="n"/>
      <c r="J82" s="30" t="n"/>
    </row>
    <row r="83" ht="15" customHeight="1" s="69">
      <c r="D83" s="76" t="n"/>
      <c r="E83" s="30" t="n"/>
      <c r="H83" s="74" t="n"/>
      <c r="I83" s="76" t="n"/>
      <c r="J83" s="30" t="n"/>
    </row>
    <row r="84" ht="15" customHeight="1" s="69">
      <c r="D84" s="76" t="n"/>
      <c r="E84" s="30" t="n"/>
      <c r="H84" s="74" t="n"/>
      <c r="I84" s="76" t="n"/>
      <c r="J84" s="30" t="n"/>
    </row>
    <row r="85" ht="15" customHeight="1" s="69">
      <c r="D85" s="76" t="n"/>
      <c r="E85" s="30" t="n"/>
      <c r="H85" s="74" t="n"/>
      <c r="I85" s="76" t="n"/>
      <c r="J85" s="30" t="n"/>
    </row>
    <row r="86" ht="15" customHeight="1" s="69">
      <c r="D86" s="76" t="n"/>
      <c r="E86" s="30" t="n"/>
      <c r="H86" s="74" t="n"/>
      <c r="I86" s="76" t="n"/>
      <c r="J86" s="30" t="n"/>
    </row>
    <row r="87" ht="15" customHeight="1" s="69">
      <c r="D87" s="76" t="n"/>
      <c r="E87" s="30" t="n"/>
      <c r="H87" s="74" t="n"/>
      <c r="I87" s="76" t="n"/>
      <c r="J87" s="30" t="n"/>
    </row>
    <row r="88" ht="15" customHeight="1" s="69">
      <c r="D88" s="76" t="n"/>
      <c r="E88" s="30" t="n"/>
      <c r="H88" s="74" t="n"/>
      <c r="I88" s="76" t="n"/>
      <c r="J88" s="30" t="n"/>
    </row>
    <row r="89" ht="15" customHeight="1" s="69">
      <c r="D89" s="76" t="n"/>
      <c r="E89" s="30" t="n"/>
      <c r="H89" s="74" t="n"/>
      <c r="I89" s="76" t="n"/>
      <c r="J89" s="30" t="n"/>
    </row>
    <row r="90" ht="15" customHeight="1" s="69">
      <c r="D90" s="76" t="n"/>
      <c r="E90" s="30" t="n"/>
      <c r="H90" s="74" t="n"/>
      <c r="I90" s="76" t="n"/>
      <c r="J90" s="30" t="n"/>
    </row>
    <row r="91" ht="15" customHeight="1" s="69">
      <c r="D91" s="76" t="n"/>
      <c r="E91" s="30" t="n"/>
      <c r="H91" s="74" t="n"/>
      <c r="I91" s="76" t="n"/>
      <c r="J91" s="30" t="n"/>
    </row>
    <row r="92" ht="15" customHeight="1" s="69">
      <c r="D92" s="76" t="n"/>
      <c r="E92" s="30" t="n"/>
      <c r="H92" s="74" t="n"/>
      <c r="I92" s="76" t="n"/>
      <c r="J92" s="30" t="n"/>
    </row>
    <row r="93" ht="15" customHeight="1" s="69">
      <c r="D93" s="76" t="n"/>
      <c r="E93" s="30" t="n"/>
      <c r="H93" s="74" t="n"/>
      <c r="I93" s="76" t="n"/>
      <c r="J93" s="30" t="n"/>
    </row>
    <row r="94" ht="15" customHeight="1" s="69">
      <c r="D94" s="76" t="n"/>
      <c r="E94" s="30" t="n"/>
      <c r="H94" s="74" t="n"/>
      <c r="I94" s="76" t="n"/>
      <c r="J94" s="30" t="n"/>
    </row>
    <row r="95" ht="15" customHeight="1" s="69">
      <c r="D95" s="76" t="n"/>
      <c r="E95" s="30" t="n"/>
      <c r="H95" s="74" t="n"/>
      <c r="I95" s="76" t="n"/>
      <c r="J95" s="30" t="n"/>
    </row>
    <row r="96" ht="15" customHeight="1" s="69">
      <c r="D96" s="76" t="n"/>
      <c r="E96" s="30" t="n"/>
      <c r="H96" s="74" t="n"/>
      <c r="I96" s="76" t="n"/>
      <c r="J96" s="30" t="n"/>
    </row>
    <row r="97" ht="15" customHeight="1" s="69">
      <c r="D97" s="76" t="n"/>
      <c r="E97" s="30" t="n"/>
      <c r="H97" s="74" t="n"/>
      <c r="I97" s="76" t="n"/>
      <c r="J97" s="30" t="n"/>
    </row>
    <row r="98" ht="15" customHeight="1" s="69">
      <c r="D98" s="76" t="n"/>
      <c r="E98" s="30" t="n"/>
      <c r="H98" s="74" t="n"/>
      <c r="I98" s="76" t="n"/>
      <c r="J98" s="30" t="n"/>
    </row>
    <row r="99" ht="15" customHeight="1" s="69">
      <c r="D99" s="76" t="n"/>
      <c r="E99" s="30" t="n"/>
      <c r="H99" s="74" t="n"/>
      <c r="I99" s="76" t="n"/>
      <c r="J99" s="30" t="n"/>
    </row>
    <row r="100" ht="15" customHeight="1" s="69"/>
  </sheetData>
  <mergeCells count="1">
    <mergeCell ref="A1:L1"/>
  </mergeCells>
  <pageMargins left="0.7" right="0.7" top="0.75" bottom="0.75" header="0.3" footer="0.3"/>
  <pageSetup orientation="portrait"/>
  <headerFooter>
    <oddHeader>&amp;L&amp;C&amp;R</oddHeader>
    <oddFooter>&amp;L&amp;"Aptos"&amp;10 &amp;K000000_x000d_# Uso interno — Spassu Tecnologia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topLeftCell="A11" workbookViewId="0">
      <selection activeCell="E8" sqref="E8"/>
    </sheetView>
  </sheetViews>
  <sheetFormatPr baseColWidth="8" defaultColWidth="8.85546875" defaultRowHeight="15" customHeight="1"/>
  <cols>
    <col width="31.42578125" customWidth="1" style="69" min="1" max="1"/>
    <col width="25.7109375" customWidth="1" style="69" min="2" max="2"/>
    <col width="7.140625" customWidth="1" style="69" min="3" max="4"/>
  </cols>
  <sheetData>
    <row r="1" ht="33.75" customHeight="1" s="69">
      <c r="A1" s="61" t="inlineStr">
        <is>
          <t>DASHBOARD - CONTROLE DE FROTA</t>
        </is>
      </c>
    </row>
    <row r="2" ht="15" customHeight="1" s="69">
      <c r="A2" s="68" t="n"/>
      <c r="B2" s="68" t="n"/>
    </row>
    <row r="3" ht="15.75" customHeight="1" s="69">
      <c r="A3" s="64" t="inlineStr">
        <is>
          <t>INDICADORES PRINCIPAIS</t>
        </is>
      </c>
    </row>
    <row r="4" ht="15" customHeight="1" s="69">
      <c r="A4" s="68" t="n"/>
      <c r="B4" s="68" t="n"/>
    </row>
    <row r="5" ht="26.25" customHeight="1" s="69">
      <c r="A5" s="1" t="inlineStr">
        <is>
          <t>Total de Veículos</t>
        </is>
      </c>
      <c r="B5" s="2">
        <f>COUNTA('Cadastro de Veículos'!A4:A100)</f>
        <v/>
      </c>
    </row>
    <row r="6" ht="26.25" customHeight="1" s="69">
      <c r="A6" s="1" t="inlineStr">
        <is>
          <t>Veículos Ativos</t>
        </is>
      </c>
      <c r="B6" s="2">
        <f>COUNTIF('Cadastro de Veículos'!K4:K100,"Ativo")</f>
        <v/>
      </c>
    </row>
    <row r="7" ht="26.25" customHeight="1" s="69">
      <c r="A7" s="1" t="inlineStr">
        <is>
          <t>Em Manutenção</t>
        </is>
      </c>
      <c r="B7" s="2">
        <f>COUNTIF('Cadastro de Veículos'!K4:K100,"Em Manutenção")</f>
        <v/>
      </c>
    </row>
    <row r="8" ht="26.25" customHeight="1" s="69">
      <c r="A8" s="1" t="inlineStr">
        <is>
          <t>KM Total da Frota</t>
        </is>
      </c>
      <c r="B8" s="3">
        <f>SUM('Cadastro de Veículos'!H4:H100)</f>
        <v/>
      </c>
    </row>
    <row r="9" ht="15" customHeight="1" s="69">
      <c r="A9" s="67" t="n"/>
      <c r="B9" s="67" t="n"/>
    </row>
    <row r="10" ht="15.75" customHeight="1" s="69">
      <c r="A10" s="64" t="inlineStr">
        <is>
          <t>RESUMO DE ABASTECIMENTO</t>
        </is>
      </c>
    </row>
    <row r="11" ht="15" customHeight="1" s="69">
      <c r="A11" s="67" t="n"/>
      <c r="B11" s="67" t="n"/>
    </row>
    <row r="12" ht="26.25" customHeight="1" s="69">
      <c r="A12" s="1" t="inlineStr">
        <is>
          <t>Total Abastecimentos</t>
        </is>
      </c>
      <c r="B12" s="4">
        <f>COUNTA('Controle Abastecimento'!A4:A100)</f>
        <v/>
      </c>
    </row>
    <row r="13" ht="26.25" customHeight="1" s="69">
      <c r="A13" s="1" t="inlineStr">
        <is>
          <t>Total Litros</t>
        </is>
      </c>
      <c r="B13" s="78">
        <f>SUM('Controle Abastecimento'!E4:E100)</f>
        <v/>
      </c>
    </row>
    <row r="14" ht="26.25" customHeight="1" s="69">
      <c r="A14" s="1" t="inlineStr">
        <is>
          <t>Gasto Total</t>
        </is>
      </c>
      <c r="B14" s="79">
        <f>SUM('Controle Abastecimento'!G4:G100)</f>
        <v/>
      </c>
    </row>
    <row r="15" ht="26.25" customHeight="1" s="69">
      <c r="A15" s="1" t="inlineStr">
        <is>
          <t>Média por Abastecimento</t>
        </is>
      </c>
      <c r="B15" s="79">
        <f>IFERROR(B14/B12,0)</f>
        <v/>
      </c>
    </row>
    <row r="16" ht="15" customHeight="1" s="69">
      <c r="A16" s="68" t="n"/>
      <c r="B16" s="68" t="n"/>
    </row>
    <row r="17" ht="15.75" customHeight="1" s="69">
      <c r="A17" s="64" t="inlineStr">
        <is>
          <t>RESUMO DE MANUTENÇÃO</t>
        </is>
      </c>
    </row>
    <row r="18" ht="15" customHeight="1" s="69">
      <c r="A18" s="68" t="n"/>
      <c r="B18" s="68" t="n"/>
    </row>
    <row r="19" ht="26.25" customHeight="1" s="69">
      <c r="A19" s="1" t="inlineStr">
        <is>
          <t>Total de Revisões</t>
        </is>
      </c>
      <c r="B19" s="2">
        <f>COUNTA('Controle Revisões'!A4:A100)</f>
        <v/>
      </c>
    </row>
    <row r="20" ht="26.25" customHeight="1" s="69">
      <c r="A20" s="1" t="inlineStr">
        <is>
          <t>Revisões Concluídas</t>
        </is>
      </c>
      <c r="B20" s="2">
        <f>COUNTIF('Controle Revisões'!K4:K100,"Concluída")</f>
        <v/>
      </c>
    </row>
    <row r="21" ht="26.25" customHeight="1" s="69">
      <c r="A21" s="1" t="inlineStr">
        <is>
          <t>Em Andamento</t>
        </is>
      </c>
      <c r="B21" s="2">
        <f>COUNTIF('Controle Revisões'!K4:K100,"Em Andamento")</f>
        <v/>
      </c>
    </row>
    <row r="22" ht="26.25" customHeight="1" s="69">
      <c r="A22" s="1" t="inlineStr">
        <is>
          <t>Gasto Total Manutenção</t>
        </is>
      </c>
      <c r="B22" s="80">
        <f>SUM('Controle Revisões'!H4:H100)</f>
        <v/>
      </c>
    </row>
  </sheetData>
  <mergeCells count="4">
    <mergeCell ref="A10:D10"/>
    <mergeCell ref="A17:D17"/>
    <mergeCell ref="A3:D3"/>
    <mergeCell ref="A1:H1"/>
  </mergeCells>
  <pageMargins left="0.7" right="0.7" top="0.75" bottom="0.75" header="0.3" footer="0.3"/>
  <pageSetup orientation="portrait"/>
  <headerFooter>
    <oddHeader>&amp;L&amp;C&amp;R</oddHeader>
    <oddFooter>&amp;L&amp;"Aptos"&amp;10 &amp;K000000_x000d_# Uso interno — Spassu Tecnologia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5" topLeftCell="A6" activePane="bottomLeft" state="frozen"/>
      <selection pane="bottomLeft" activeCell="E20" sqref="E20"/>
    </sheetView>
  </sheetViews>
  <sheetFormatPr baseColWidth="8" defaultColWidth="8.85546875" defaultRowHeight="15" customHeight="1"/>
  <cols>
    <col width="14.28515625" customWidth="1" style="69" min="1" max="1"/>
    <col width="21.42578125" customWidth="1" style="69" min="2" max="2"/>
    <col width="17.140625" customWidth="1" style="69" min="3" max="3"/>
    <col width="25.5703125" customWidth="1" style="69" min="4" max="4"/>
    <col width="17.140625" customWidth="1" style="69" min="5" max="5"/>
    <col width="29.140625" customWidth="1" style="69" min="6" max="6"/>
    <col width="30.28515625" customWidth="1" style="69" min="7" max="7"/>
  </cols>
  <sheetData>
    <row r="1" ht="30" customHeight="1" s="69">
      <c r="A1" s="61" t="inlineStr">
        <is>
          <t>DASHBOARD POR VEÍCULO</t>
        </is>
      </c>
    </row>
    <row r="3" ht="22.5" customHeight="1" s="69">
      <c r="A3" s="64" t="inlineStr">
        <is>
          <t>INDICADORES INDIVIDUAIS DA FROTA</t>
        </is>
      </c>
    </row>
    <row r="5" ht="26.25" customHeight="1" s="69">
      <c r="A5" s="8" t="inlineStr">
        <is>
          <t>Placa</t>
        </is>
      </c>
      <c r="B5" s="8" t="inlineStr">
        <is>
          <t>Veículo</t>
        </is>
      </c>
      <c r="C5" s="8" t="inlineStr">
        <is>
          <t>Status</t>
        </is>
      </c>
      <c r="D5" s="8" t="inlineStr">
        <is>
          <t>KM Rodados (Mês)</t>
        </is>
      </c>
      <c r="E5" s="8" t="inlineStr">
        <is>
          <t>Total Litros</t>
        </is>
      </c>
      <c r="F5" s="8" t="inlineStr">
        <is>
          <t>Valor Gasto Abastecimento</t>
        </is>
      </c>
      <c r="G5" s="8" t="inlineStr">
        <is>
          <t>Média Consumo (km/L)</t>
        </is>
      </c>
    </row>
    <row r="6" ht="15" customHeight="1" s="69">
      <c r="A6" s="11" t="inlineStr">
        <is>
          <t>TYA-2J42</t>
        </is>
      </c>
      <c r="B6" s="11">
        <f>IFERROR(VLOOKUP("TYA-2J42",'Cadastro de Veículos'!B:D,2,FALSE)&amp;" "&amp;VLOOKUP("TYA-2J42",'Cadastro de Veículos'!B:D,3,FALSE),"-")</f>
        <v/>
      </c>
      <c r="C6" s="11">
        <f>IFERROR(VLOOKUP("TYA-2J42",'Cadastro de Veículos'!B:K,10,FALSE),"-")</f>
        <v/>
      </c>
      <c r="D6" s="12">
        <f>SUMIF('Controle KM Semanal'!B:B,"TYA-2J42",'Controle KM Semanal'!H:H)</f>
        <v/>
      </c>
      <c r="E6" s="12">
        <f>SUMIF('Controle Abastecimento'!B:B,"TYA-2J42",'Controle Abastecimento'!E:E)</f>
        <v/>
      </c>
      <c r="F6" s="82">
        <f>SUMIF('Controle Abastecimento'!B:B,"TYA-2J42",'Controle Abastecimento'!G:G)</f>
        <v/>
      </c>
      <c r="G6" s="46">
        <f>IFERROR(D7/E7,0)</f>
        <v/>
      </c>
    </row>
    <row r="7" ht="15" customHeight="1" s="69">
      <c r="A7" s="9" t="inlineStr">
        <is>
          <t>TXV-9E58</t>
        </is>
      </c>
      <c r="B7" s="9">
        <f>IFERROR(VLOOKUP("TXV-9E58",'Cadastro de Veículos'!B:D,2,FALSE)&amp;" "&amp;VLOOKUP("TXV-9E58",'Cadastro de Veículos'!B:D,3,FALSE),"-")</f>
        <v/>
      </c>
      <c r="C7" s="9">
        <f>IFERROR(VLOOKUP("TXV-9E58",'Cadastro de Veículos'!B:K,10,FALSE),"-")</f>
        <v/>
      </c>
      <c r="D7" s="10">
        <f>SUMIF('Controle KM Semanal'!B:B,"TXV-9E58",'Controle KM Semanal'!H:H)</f>
        <v/>
      </c>
      <c r="E7" s="10">
        <f>SUMIF('Controle Abastecimento'!B:B,"TXV-9E58",'Controle Abastecimento'!E:E)</f>
        <v/>
      </c>
      <c r="F7" s="81">
        <f>SUMIF('Controle Abastecimento'!B:B,"TXV-9E58",'Controle Abastecimento'!G:G)</f>
        <v/>
      </c>
      <c r="G7" s="51">
        <f>IFERROR(D8/E8,0)</f>
        <v/>
      </c>
    </row>
    <row r="8" ht="15" customHeight="1" s="69">
      <c r="A8" s="11" t="inlineStr">
        <is>
          <t>TXJ-3C03</t>
        </is>
      </c>
      <c r="B8" s="11">
        <f>IFERROR(VLOOKUP("TXJ-3C03",'Cadastro de Veículos'!B:D,2,FALSE)&amp;" "&amp;VLOOKUP("TXJ-3C03",'Cadastro de Veículos'!B:D,3,FALSE),"-")</f>
        <v/>
      </c>
      <c r="C8" s="11">
        <f>IFERROR(VLOOKUP("TXJ-3C03",'Cadastro de Veículos'!B:K,10,FALSE),"-")</f>
        <v/>
      </c>
      <c r="D8" s="12">
        <f>SUMIF('Controle KM Semanal'!B:B,"TXJ-3C03",'Controle KM Semanal'!H:H)</f>
        <v/>
      </c>
      <c r="E8" s="12">
        <f>SUMIF('Controle Abastecimento'!B:B,"TXJ-3C03",'Controle Abastecimento'!E:E)</f>
        <v/>
      </c>
      <c r="F8" s="82">
        <f>SUMIF('Controle Abastecimento'!B:B,"TXJ-3C03",'Controle Abastecimento'!G:G)</f>
        <v/>
      </c>
      <c r="G8" s="46">
        <f>IFERROR(D9/E9,0)</f>
        <v/>
      </c>
    </row>
    <row r="9" ht="15" customHeight="1" s="69">
      <c r="A9" s="9" t="n"/>
      <c r="B9" s="9" t="n"/>
      <c r="C9" s="9" t="n"/>
      <c r="D9" s="10" t="n"/>
      <c r="E9" s="10" t="n"/>
      <c r="F9" s="81" t="n"/>
      <c r="G9" s="10">
        <f>IFERROR(D10/E10,0)</f>
        <v/>
      </c>
    </row>
    <row r="10" ht="15" customHeight="1" s="69">
      <c r="F10" s="83" t="n"/>
    </row>
    <row r="11" ht="15" customHeight="1" s="69">
      <c r="A11" s="65" t="inlineStr">
        <is>
          <t>TOTAL FROTA</t>
        </is>
      </c>
      <c r="D11" s="33">
        <f>SUM(D6:D10)</f>
        <v/>
      </c>
      <c r="E11" s="33">
        <f>SUM(E6:E10)</f>
        <v/>
      </c>
      <c r="F11" s="84">
        <f>SUM(F6:F10)</f>
        <v/>
      </c>
      <c r="G11" s="33">
        <f>IFERROR(D12/E12,0)</f>
        <v/>
      </c>
    </row>
    <row r="12" ht="22.5" customHeight="1" s="69"/>
  </sheetData>
  <mergeCells count="3">
    <mergeCell ref="A12:C12"/>
    <mergeCell ref="A3:G3"/>
    <mergeCell ref="A1:G1"/>
  </mergeCells>
  <pageMargins left="0.7" right="0.7" top="0.75" bottom="0.75" header="0.3" footer="0.3"/>
  <pageSetup orientation="portrait"/>
  <headerFooter>
    <oddHeader>&amp;L&amp;C&amp;R</oddHeader>
    <oddFooter>&amp;L&amp;"Aptos"&amp;10 &amp;K000000_x000d_# Uso interno — Spassu Tecnologia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2026-03-23T12:54:28Z</dcterms:created>
  <dcterms:modified xmlns:dcterms="http://purl.org/dc/terms/" xmlns:xsi="http://www.w3.org/2001/XMLSchema-instance" xsi:type="dcterms:W3CDTF">2026-10-20T15:30:22Z</dcterms:modified>
  <cp:lastModifiedBy>Michael Loureiro Souza</cp:lastModifiedBy>
</cp:coreProperties>
</file>

<file path=docProps/custom.xml><?xml version="1.0" encoding="utf-8"?>
<Properties xmlns="http://schemas.openxmlformats.org/officeDocument/2006/custom-properties">
  <property name="MSIP_Label_f518069e-343f-4c4e-8243-6554b0f85cfe_Enabled" fmtid="{D5CDD505-2E9C-101B-9397-08002B2CF9AE}" pid="2">
    <vt:lpwstr xmlns:vt="http://schemas.openxmlformats.org/officeDocument/2006/docPropsVTypes">true</vt:lpwstr>
  </property>
  <property name="MSIP_Label_f518069e-343f-4c4e-8243-6554b0f85cfe_SetDate" fmtid="{D5CDD505-2E9C-101B-9397-08002B2CF9AE}" pid="3">
    <vt:lpwstr xmlns:vt="http://schemas.openxmlformats.org/officeDocument/2006/docPropsVTypes">2026-08-14T13:22:47Z</vt:lpwstr>
  </property>
  <property name="MSIP_Label_f518069e-343f-4c4e-8243-6554b0f85cfe_Method" fmtid="{D5CDD505-2E9C-101B-9397-08002B2CF9AE}" pid="4">
    <vt:lpwstr xmlns:vt="http://schemas.openxmlformats.org/officeDocument/2006/docPropsVTypes">Standard</vt:lpwstr>
  </property>
  <property name="MSIP_Label_f518069e-343f-4c4e-8243-6554b0f85cfe_Name" fmtid="{D5CDD505-2E9C-101B-9397-08002B2CF9AE}" pid="5">
    <vt:lpwstr xmlns:vt="http://schemas.openxmlformats.org/officeDocument/2006/docPropsVTypes">Interno</vt:lpwstr>
  </property>
  <property name="MSIP_Label_f518069e-343f-4c4e-8243-6554b0f85cfe_SiteId" fmtid="{D5CDD505-2E9C-101B-9397-08002B2CF9AE}" pid="6">
    <vt:lpwstr xmlns:vt="http://schemas.openxmlformats.org/officeDocument/2006/docPropsVTypes">f383ec6e-6701-4c8b-96ee-6dcde029a539</vt:lpwstr>
  </property>
  <property name="MSIP_Label_f518069e-343f-4c4e-8243-6554b0f85cfe_ActionId" fmtid="{D5CDD505-2E9C-101B-9397-08002B2CF9AE}" pid="7">
    <vt:lpwstr xmlns:vt="http://schemas.openxmlformats.org/officeDocument/2006/docPropsVTypes">cf947b01-2262-4986-b9de-6f5f9805cae8</vt:lpwstr>
  </property>
  <property name="MSIP_Label_f518069e-343f-4c4e-8243-6554b0f85cfe_ContentBits" fmtid="{D5CDD505-2E9C-101B-9397-08002B2CF9AE}" pid="8">
    <vt:lpwstr xmlns:vt="http://schemas.openxmlformats.org/officeDocument/2006/docPropsVTypes">2</vt:lpwstr>
  </property>
  <property name="MSIP_Label_f518069e-343f-4c4e-8243-6554b0f85cfe_Tag" fmtid="{D5CDD505-2E9C-101B-9397-08002B2CF9AE}" pid="9">
    <vt:lpwstr xmlns:vt="http://schemas.openxmlformats.org/officeDocument/2006/docPropsVTypes">10, 3, 0, 2</vt:lpwstr>
  </property>
</Properties>
</file>